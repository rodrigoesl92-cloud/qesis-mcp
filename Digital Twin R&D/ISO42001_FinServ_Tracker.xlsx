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9954D10D-9830-493D-A065-4322849C7FD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mplementation Tracker" sheetId="1" r:id="rId1"/>
    <sheet name="Dashboard" sheetId="2" r:id="rId2"/>
    <sheet name="Regulatory Alignment" sheetId="3" r:id="rId3"/>
    <sheet name="Document Register" sheetId="4" r:id="rId4"/>
    <sheet name="Timeline" sheetId="5" r:id="rId5"/>
    <sheet name="AI Use Cases" sheetId="6" r:id="rId6"/>
  </sheets>
  <definedNames>
    <definedName name="_xlnm._FilterDatabase" localSheetId="5" hidden="1">'AI Use Cases'!$A$1:$H$1</definedName>
    <definedName name="_xlnm._FilterDatabase" localSheetId="3" hidden="1">'Document Register'!$A$1:$J$1</definedName>
    <definedName name="_xlnm._FilterDatabase" localSheetId="0" hidden="1">'Implementation Tracker'!$A$1:$N$1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2" l="1"/>
  <c r="C21" i="2"/>
  <c r="E21" i="2" s="1"/>
  <c r="D20" i="2"/>
  <c r="C20" i="2"/>
  <c r="E20" i="2" s="1"/>
  <c r="D19" i="2"/>
  <c r="C19" i="2"/>
  <c r="E19" i="2" s="1"/>
  <c r="D18" i="2"/>
  <c r="C18" i="2"/>
  <c r="E18" i="2" s="1"/>
  <c r="D17" i="2"/>
  <c r="C17" i="2"/>
  <c r="E17" i="2" s="1"/>
  <c r="D16" i="2"/>
  <c r="C16" i="2"/>
  <c r="E16" i="2" s="1"/>
  <c r="D15" i="2"/>
  <c r="C15" i="2"/>
  <c r="E15" i="2" s="1"/>
  <c r="B10" i="2"/>
  <c r="B9" i="2"/>
  <c r="B8" i="2"/>
  <c r="B7" i="2"/>
  <c r="B6" i="2"/>
  <c r="B5" i="2"/>
  <c r="B11" i="2" s="1"/>
</calcChain>
</file>

<file path=xl/sharedStrings.xml><?xml version="1.0" encoding="utf-8"?>
<sst xmlns="http://schemas.openxmlformats.org/spreadsheetml/2006/main" count="1662" uniqueCount="477">
  <si>
    <t>Clause</t>
  </si>
  <si>
    <t>Sub-Clause</t>
  </si>
  <si>
    <t>Sub-Clause Title</t>
  </si>
  <si>
    <t>Task #</t>
  </si>
  <si>
    <t>Task Description</t>
  </si>
  <si>
    <t>Responsible</t>
  </si>
  <si>
    <t>Owner (Name)</t>
  </si>
  <si>
    <t>Target Date</t>
  </si>
  <si>
    <t>Status</t>
  </si>
  <si>
    <t>% Complete</t>
  </si>
  <si>
    <t>Evidence Required</t>
  </si>
  <si>
    <t>Regulatory Alignment</t>
  </si>
  <si>
    <t>Evidence Location</t>
  </si>
  <si>
    <t>Notes</t>
  </si>
  <si>
    <t>4</t>
  </si>
  <si>
    <t>4.1</t>
  </si>
  <si>
    <t>Understanding the Organization and Its Context</t>
  </si>
  <si>
    <t>1</t>
  </si>
  <si>
    <t>Identify internal factors: AI capabilities, legacy systems, data infrastructure, risk culture, governance maturity</t>
  </si>
  <si>
    <t>CRO, AI Governance Lead, Head of Technology</t>
  </si>
  <si>
    <t>Not Started</t>
  </si>
  <si>
    <t>0%</t>
  </si>
  <si>
    <t>Organizational context report, PESTLE analysis, AI maturity assessment, AI-to-business mapping</t>
  </si>
  <si>
    <t>APRA CPS 230</t>
  </si>
  <si>
    <t>2</t>
  </si>
  <si>
    <t>Identify external factors: financial regulations (APRA CPS 230/234, Basel, MiFID II, DORA, EU AI Act), market conditions</t>
  </si>
  <si>
    <t>3</t>
  </si>
  <si>
    <t>Document AI-specific context: AI maturity level, strategic AI roadmap, competitive positioning</t>
  </si>
  <si>
    <t>Conduct PESTLE analysis with financial-services-specific AI considerations</t>
  </si>
  <si>
    <t>5</t>
  </si>
  <si>
    <t>Map AI systems to financial services functions: credit scoring, fraud detection, AML/KYC, trading, claims, onboarding, robo-advisory</t>
  </si>
  <si>
    <t>6</t>
  </si>
  <si>
    <t>Assess interaction between AI governance and existing financial risk frameworks (operational risk, model risk, conduct risk)</t>
  </si>
  <si>
    <t>4.2</t>
  </si>
  <si>
    <t>Needs and Expectations of Interested Parties</t>
  </si>
  <si>
    <t>Identify interested parties: customers, regulators (APRA, ASIC, FCA, ECB, SEC), shareholders, auditors, data subjects</t>
  </si>
  <si>
    <t>AI Governance Lead, Legal/Compliance, Regulatory Affairs</t>
  </si>
  <si>
    <t>Interested parties register, regulatory requirements matrix, stakeholder mapping, horizon scanning log</t>
  </si>
  <si>
    <t>Multiple (APRA, Basel, EU AI Act)</t>
  </si>
  <si>
    <t>Document regulatory expectations: SR 11-7, APRA CPG 235, CPS 234, EU AI Act risk tiers</t>
  </si>
  <si>
    <t>Map stakeholder concerns to AI systems (e.g., customer fairness in credit decisions, explainability)</t>
  </si>
  <si>
    <t>Document requirements from financial industry bodies (OECD AI Principles, FSB recommendations)</t>
  </si>
  <si>
    <t>Assess third-party expectations from banking partners, payment networks, outsourcing providers</t>
  </si>
  <si>
    <t>Establish ongoing regulatory horizon scanning and stakeholder engagement process</t>
  </si>
  <si>
    <t>4.3</t>
  </si>
  <si>
    <t>Determining the Scope of the AIMS</t>
  </si>
  <si>
    <t>Define AIMS boundaries across business lines (retail, corporate, wealth, insurance, trading, payments)</t>
  </si>
  <si>
    <t>CRO, AI Governance Lead, Head of Compliance</t>
  </si>
  <si>
    <t>AIMS scope statement, AI system inventory with risk classification, MRM alignment</t>
  </si>
  <si>
    <t>APRA CPS 230, EU AI Act</t>
  </si>
  <si>
    <t>Identify all AI systems in scope: models, ML pipelines, third-party AI, LLM-based tools</t>
  </si>
  <si>
    <t>Classify AI systems by EU AI Act risk tier where applicable</t>
  </si>
  <si>
    <t>Document exclusions with risk-based justification</t>
  </si>
  <si>
    <t>Consider AI lifecycle across regulated activities</t>
  </si>
  <si>
    <t>Publish scope statement aligned with MRM framework</t>
  </si>
  <si>
    <t>4.4</t>
  </si>
  <si>
    <t>AI Management System</t>
  </si>
  <si>
    <t>Establish AIMS integrated with MRM, Operational Risk, IT Risk, Data Governance</t>
  </si>
  <si>
    <t>AI Governance Lead, CRO, CTO</t>
  </si>
  <si>
    <t>AIMS process map, Three Lines of Defence matrix, governance committee charter</t>
  </si>
  <si>
    <t>SR 11-7, APRA</t>
  </si>
  <si>
    <t>Document process maps showing Three Lines of Defence integration</t>
  </si>
  <si>
    <t>Define alignment with ISO 27001, ISO 31000, SOC 2</t>
  </si>
  <si>
    <t>Establish AI governance committee with Risk, Compliance, Technology, Business, and Data representation</t>
  </si>
  <si>
    <t>5.1</t>
  </si>
  <si>
    <t>Leadership and Commitment</t>
  </si>
  <si>
    <t>Board/ExCo formally endorses AIMS and responsible AI strategy</t>
  </si>
  <si>
    <t>Board, CEO, CRO, CTO</t>
  </si>
  <si>
    <t>Board resolution/minutes, AI strategy, resource allocation records, committee reporting packs</t>
  </si>
  <si>
    <t>APRA CPS 220, SR 11-7</t>
  </si>
  <si>
    <t>Align AI strategy with risk appetite framework and strategic plan</t>
  </si>
  <si>
    <t>Allocate resources: AI governance team, model validation unit, compliance support, technology budget</t>
  </si>
  <si>
    <t>Communicate responsible AI expectations across all business lines</t>
  </si>
  <si>
    <t>Integrate AI governance into Board risk committee and audit committee reporting</t>
  </si>
  <si>
    <t>Ensure senior management accountability for AI outcomes per regulatory expectations</t>
  </si>
  <si>
    <t>5.2</t>
  </si>
  <si>
    <t>AI Policy</t>
  </si>
  <si>
    <t>Develop AI policy: responsible AI, regulatory compliance, model risk, data ethics, customer fairness</t>
  </si>
  <si>
    <t>CRO, AI Governance Lead, Legal, Compliance</t>
  </si>
  <si>
    <t>AI Policy (board-approved), alignment matrix, GenAI acceptable use policy, comms records</t>
  </si>
  <si>
    <t>SR 11-7, APRA, FCA, EU AI Act</t>
  </si>
  <si>
    <t>Include: explainability in customer-facing decisions, non-discrimination, human oversight of high-risk AI</t>
  </si>
  <si>
    <t>Address: fair lending, market integrity, consumer protection, financial inclusion</t>
  </si>
  <si>
    <t>Align with Model Risk Policy, Data Governance Policy, Code of Conduct, Privacy Policy</t>
  </si>
  <si>
    <t>Address generative AI / LLM use by staff (acceptable use, data leakage prevention)</t>
  </si>
  <si>
    <t>Approve, communicate, schedule periodic reviews (min. annually or on regulatory change)</t>
  </si>
  <si>
    <t>5.3</t>
  </si>
  <si>
    <t>Roles, Responsibilities and Authorities</t>
  </si>
  <si>
    <t>Define roles aligned to Three Lines of Defence: 1L (business), 2L (risk/validation), 3L (audit)</t>
  </si>
  <si>
    <t>CRO, HR, Board Risk Committee</t>
  </si>
  <si>
    <t>RACI matrix, AI governance org chart, committee charter, role descriptions, escalation procedure</t>
  </si>
  <si>
    <t>SR 11-7, Three Lines</t>
  </si>
  <si>
    <t>Assign: AI Governance Lead, Chief Model Risk Officer, AI Ethics Lead, DPO, Model Validation Head</t>
  </si>
  <si>
    <t>Establish AI Risk Committee with clear mandate and authority</t>
  </si>
  <si>
    <t>Document RACI for model development, validation, deployment approval, ongoing monitoring</t>
  </si>
  <si>
    <t>Ensure segregation of duties between model development (1L) and validation (2L)</t>
  </si>
  <si>
    <t>Define escalation paths to CRO/Board for high-risk AI decisions and material model failures</t>
  </si>
  <si>
    <t>6.1</t>
  </si>
  <si>
    <t>Actions to Address Risks and Opportunities</t>
  </si>
  <si>
    <t>Conduct AI risk assessment aligned with operational risk framework and model risk taxonomy</t>
  </si>
  <si>
    <t>CRO, AI Governance Lead, Model Risk, Operational Risk</t>
  </si>
  <si>
    <t>AI Risk Assessment, integrated risk register, risk appetite alignment, treatment plans, concentration risk analysis</t>
  </si>
  <si>
    <t>CPS 220, Basel, SR 11-7</t>
  </si>
  <si>
    <t>Identify FS-specific risks: algorithmic bias in lending, model drift, adversarial attacks, data poisoning, over-reliance on AI</t>
  </si>
  <si>
    <t>Assess concentration risk from third-party AI/ML platforms</t>
  </si>
  <si>
    <t>Assess conduct risk: AI-driven mis-selling, unfair pricing, market manipulation, suitability failures</t>
  </si>
  <si>
    <t>Map AI risks to risk appetite statements; define AI-specific tolerance thresholds</t>
  </si>
  <si>
    <t>Define treatment plans aligned to APRA CPS 220 / Basel BCBS 239</t>
  </si>
  <si>
    <t>7</t>
  </si>
  <si>
    <t>Establish AI risk register integrated with enterprise risk register</t>
  </si>
  <si>
    <t>6.1.4</t>
  </si>
  <si>
    <t>AI System Impact Assessment</t>
  </si>
  <si>
    <t>Develop methodology covering: customers, financial stability, market integrity, vulnerable populations</t>
  </si>
  <si>
    <t>AI Governance Lead, Model Risk, Ethics Committee, Compliance</t>
  </si>
  <si>
    <t>Impact assessment template (FS-specific), completed assessments, disparate impact analyses, PIAs</t>
  </si>
  <si>
    <t>EU AI Act, Fair Lending, APPs</t>
  </si>
  <si>
    <t>Conduct impact assessments with focus on fair lending, disparate impact, accessibility</t>
  </si>
  <si>
    <t>Assess impacts on financially vulnerable customers and potential for financial exclusion</t>
  </si>
  <si>
    <t>Evaluate systemic risk implications (correlated AI trading strategies, procyclical credit models)</t>
  </si>
  <si>
    <t>Assess privacy impact aligned with APPs / GDPR (credit data, transaction data, biometric data)</t>
  </si>
  <si>
    <t>Document results with links to control requirements and remediation actions</t>
  </si>
  <si>
    <t>6.2</t>
  </si>
  <si>
    <t>AI Objectives and Planning</t>
  </si>
  <si>
    <t>Establish measurable objectives: accuracy, fairness metrics, explainability coverage, time-to-validation</t>
  </si>
  <si>
    <t>CRO, AI Governance Lead, Business Line Heads</t>
  </si>
  <si>
    <t>AI Objectives, KRI/KPI dashboard, Board reporting pack, review records</t>
  </si>
  <si>
    <t>Define compliance objectives: 100% high-risk AI validated pre-deployment, regulator SLAs met</t>
  </si>
  <si>
    <t>Set customer outcome objectives: reduced unfair denials, improved transparency</t>
  </si>
  <si>
    <t>Define actions, resources, responsible person, timeline, KPIs for each objective</t>
  </si>
  <si>
    <t>Align AI objectives with institutional KRIs; report to Board Risk Committee</t>
  </si>
  <si>
    <t>6.3</t>
  </si>
  <si>
    <t>Planning of Changes</t>
  </si>
  <si>
    <t>Establish change management aligned with IT change and model change procedures</t>
  </si>
  <si>
    <t>AI Governance Lead, Change Management, Model Risk</t>
  </si>
  <si>
    <t>Change procedure, materiality matrix, change log, PIR records</t>
  </si>
  <si>
    <t>Define materiality thresholds for changes requiring re-validation or re-approval</t>
  </si>
  <si>
    <t>Assess regulatory impact of AIMS changes (e.g., new AI use case requiring notification)</t>
  </si>
  <si>
    <t>Document change requests, risk assessments, approvals, post-implementation reviews</t>
  </si>
  <si>
    <t>7.1</t>
  </si>
  <si>
    <t>Resources</t>
  </si>
  <si>
    <t>Determine resources: AI governance team, model validation, data scientists, compliance, AI audit capability</t>
  </si>
  <si>
    <t>CFO, CRO, HR, CTO</t>
  </si>
  <si>
    <t>Resource plan, budget allocation, capability gap analysis, headcount plans</t>
  </si>
  <si>
    <t>Assess capability gaps in MRM, AI ethics, explainability, fairness testing</t>
  </si>
  <si>
    <t>Budget for: governance tools, independent validation, external expertise, regulatory engagement</t>
  </si>
  <si>
    <t>Ensure adequate 2L validation resources independent of 1L development</t>
  </si>
  <si>
    <t>7.2</t>
  </si>
  <si>
    <t>Competence</t>
  </si>
  <si>
    <t>Define competencies: model developers (ML + domain), validators (stats + regulation), AI auditors</t>
  </si>
  <si>
    <t>HR, AI Governance Lead, Training, Model Risk</t>
  </si>
  <si>
    <t>Competency framework (FS-specific), training plan, Board AI literacy program, records</t>
  </si>
  <si>
    <t>APRA CPS 520</t>
  </si>
  <si>
    <t>Require understanding of relevant regulations for all AI staff</t>
  </si>
  <si>
    <t>Establish ongoing training: responsible AI, bias testing, explainability, financial regulation</t>
  </si>
  <si>
    <t>Ensure Board and senior management receive AI literacy training for effective oversight</t>
  </si>
  <si>
    <t>Retain evidence: qualifications, certifications (FRM, PRM, AI-specific), training records</t>
  </si>
  <si>
    <t>7.3</t>
  </si>
  <si>
    <t>Awareness</t>
  </si>
  <si>
    <t>Ensure all staff aware of AI policy and responsibilities</t>
  </si>
  <si>
    <t>AI Governance Lead, HR, Communications, Compliance</t>
  </si>
  <si>
    <t>Awareness materials, attendance records, scenario exercise records, staff surveys</t>
  </si>
  <si>
    <t>Targeted awareness: front-office (explaining AI to customers), operations (monitoring), compliance (regulatory)</t>
  </si>
  <si>
    <t>Raise awareness of generative AI risks: data leakage, hallucination, IP, client confidentiality</t>
  </si>
  <si>
    <t>Scenario-based training: biased lending decision, fraud model excessive false positives</t>
  </si>
  <si>
    <t>Ensure understanding of whistleblowing and escalation channels for AI concerns</t>
  </si>
  <si>
    <t>7.4</t>
  </si>
  <si>
    <t>Communication</t>
  </si>
  <si>
    <t>Define communication plan: internal (Board, committees, business lines) and external (regulators, customers)</t>
  </si>
  <si>
    <t>AI Governance Lead, Regulatory Affairs, Customer Experience</t>
  </si>
  <si>
    <t>Communication plan, regulatory engagement log, customer disclosure templates, incident protocol</t>
  </si>
  <si>
    <t>Consumer protection</t>
  </si>
  <si>
    <t>Establish regulatory communication protocols: proactive engagement, inquiry response, breach notification</t>
  </si>
  <si>
    <t>Define customer communication standards: right to explanation, complaints handling for AI outcomes</t>
  </si>
  <si>
    <t>Establish AI incident communication protocol with triggers, escalation, and disclosure requirements</t>
  </si>
  <si>
    <t>7.5</t>
  </si>
  <si>
    <t>Documented Information</t>
  </si>
  <si>
    <t>Establish document control aligned with regulatory retention requirements</t>
  </si>
  <si>
    <t>AI Governance Lead, Document Control, Model Risk, Technology</t>
  </si>
  <si>
    <t>Document control procedure, model documentation standards, model inventory, retention schedule</t>
  </si>
  <si>
    <t>Define model documentation standards: model cards, technical specs, validation reports, approvals</t>
  </si>
  <si>
    <t>Ensure version control for models, datasets, AI configs (MLOps)</t>
  </si>
  <si>
    <t>Maintain comprehensive model inventory with lifecycle status, risk tier, validation status</t>
  </si>
  <si>
    <t>Ensure audit trail and retention per regulatory requirements (7+ years)</t>
  </si>
  <si>
    <t>8</t>
  </si>
  <si>
    <t>8.1</t>
  </si>
  <si>
    <t>Operational Planning and Control</t>
  </si>
  <si>
    <t>Implement model lifecycle: development, peer review, validation gate, deployment approval, monitoring, retirement</t>
  </si>
  <si>
    <t>AI Governance Lead, CTO, Model Risk, IT Ops, Procurement</t>
  </si>
  <si>
    <t>Model lifecycle procedure, acceptance criteria, MLOps docs, third-party records, GenAI controls</t>
  </si>
  <si>
    <t>SR 11-7, CPS 230, DORA</t>
  </si>
  <si>
    <t>Define acceptance criteria: performance thresholds, fairness benchmarks, explainability, stability tests</t>
  </si>
  <si>
    <t>Implement MLOps: reproducible pipelines, data lineage, model versioning, automated testing, rollback</t>
  </si>
  <si>
    <t>Manage third-party AI: due diligence, ongoing monitoring, contractual obligations, concentration risk</t>
  </si>
  <si>
    <t>Implement GenAI controls: input/output filtering, grounding, citation, human-in-the-loop</t>
  </si>
  <si>
    <t>Ensure AI changes follow model change and IT change management processes</t>
  </si>
  <si>
    <t>8.2</t>
  </si>
  <si>
    <t>AI Risk Assessment (Operational)</t>
  </si>
  <si>
    <t>Perform ongoing assessments: at deployment, periodically (min. annually), on material change</t>
  </si>
  <si>
    <t>Model Risk, AI Governance Lead, Data Science, Operational Risk</t>
  </si>
  <si>
    <t>Ongoing risk reports, monitoring dashboards, drift detection, backtesting results, OpRisk reports</t>
  </si>
  <si>
    <t>CPS 220, Basel</t>
  </si>
  <si>
    <t>Monitor for model drift, concept drift, data drift across all deployed AI</t>
  </si>
  <si>
    <t>Assess emerging risks: adversarial attacks, data poisoning, prompt injection for LLMs</t>
  </si>
  <si>
    <t>Evaluate backtesting and benchmarking against acceptance thresholds</t>
  </si>
  <si>
    <t>Integrate results into enterprise operational risk reporting (APRA CPS 220 / Basel)</t>
  </si>
  <si>
    <t>8.3</t>
  </si>
  <si>
    <t>AI Risk Treatment</t>
  </si>
  <si>
    <t>Implement treatment plans: enhancements, additional controls, human oversight, restrictions, retirement</t>
  </si>
  <si>
    <t>Model Risk, AI Governance Lead, Risk Owners, CRO</t>
  </si>
  <si>
    <t>SoA (FS-contextualized), treatment plans, validation reports, risk acceptance, circuit breaker docs</t>
  </si>
  <si>
    <t>SR 11-7</t>
  </si>
  <si>
    <t>Produce SoA mapping Annex A/B controls to financial-services context</t>
  </si>
  <si>
    <t>Apply controls proportionate to risk tier (high-risk credit/trading vs. low-risk analytics)</t>
  </si>
  <si>
    <t>Implement: pre-deployment validation, ongoing monitoring, champion-challenger, circuit breakers</t>
  </si>
  <si>
    <t>Obtain risk owner sign-off on residual risk with documented rationale</t>
  </si>
  <si>
    <t>8.4</t>
  </si>
  <si>
    <t>AI System Impact Assessment (Operational)</t>
  </si>
  <si>
    <t>Conduct ongoing impact monitoring: disparate impact on lending/insurance, customer outcome testing</t>
  </si>
  <si>
    <t>AI Governance Lead, Compliance, Customer Experience, Model Risk</t>
  </si>
  <si>
    <t>Impact monitoring reports, customer outcome analysis, stakeholder engagement, remediation docs</t>
  </si>
  <si>
    <t>Fair lending, Consumer duty</t>
  </si>
  <si>
    <t>Monitor for adverse outcomes: increased complaints, disproportionate denials, pricing anomalies</t>
  </si>
  <si>
    <t>Engage consumer advocacy groups, financial counsellors, customer panels</t>
  </si>
  <si>
    <t>Compare actual impacts against pre-deployment predictions</t>
  </si>
  <si>
    <t>Trigger remediation: model recalibration, override procedures, customer remediation programs</t>
  </si>
  <si>
    <t>9</t>
  </si>
  <si>
    <t>9.1</t>
  </si>
  <si>
    <t>Monitoring, Measurement, Analysis, and Evaluation</t>
  </si>
  <si>
    <t>Define KPIs: accuracy (AUC, Gini), fairness (SPD, DI ratio, equalised odds), FP/FN rates, explainability coverage</t>
  </si>
  <si>
    <t>Model Risk, AI Governance Lead, Data Science, Compliance</t>
  </si>
  <si>
    <t>KPI/KRI dashboards, model monitoring reports, compliance metrics, AIMS self-assessment</t>
  </si>
  <si>
    <t>Monitor compliance KPIs: % models validated on time, open findings, regulatory remediation, breach incidents</t>
  </si>
  <si>
    <t>Implement real-time monitoring for high-risk AI: fraud, trading, credit stability</t>
  </si>
  <si>
    <t>Establish model performance dashboards for 1L, 2L, 3L functions</t>
  </si>
  <si>
    <t>Evaluate AIMS effectiveness through periodic self-assessment</t>
  </si>
  <si>
    <t>9.2</t>
  </si>
  <si>
    <t>Internal Audit</t>
  </si>
  <si>
    <t>Integrate AI audit into annual audit plan with risk-based frequency</t>
  </si>
  <si>
    <t>Internal Audit, AI Governance Lead, Board Audit Committee</t>
  </si>
  <si>
    <t>Audit plan, AI audit reports, auditor competence, Board papers, corrective action tracking</t>
  </si>
  <si>
    <t>APRA, SR 11-7</t>
  </si>
  <si>
    <t>Scope: AI governance framework, model lifecycle, data governance, third-party AI, customer outcomes</t>
  </si>
  <si>
    <t>Ensure auditors have AI/ML competence or engage specialist resources</t>
  </si>
  <si>
    <t>Audit regulatory alignment: SR 11-7, APRA CPG 235, EU AI Act</t>
  </si>
  <si>
    <t>Report findings to Board Audit Committee with risk ratings and remediation timelines</t>
  </si>
  <si>
    <t>Track corrective actions to closure with independent verification</t>
  </si>
  <si>
    <t>9.3</t>
  </si>
  <si>
    <t>Management Review</t>
  </si>
  <si>
    <t>Conduct reviews at least semi-annually (financial regulators expect frequent oversight)</t>
  </si>
  <si>
    <t>CRO, CEO, Board Risk Committee, AI Governance Lead</t>
  </si>
  <si>
    <t>Review minutes, Board Risk Committee papers, action tracker, regulatory impact assessments</t>
  </si>
  <si>
    <t>CPS 220</t>
  </si>
  <si>
    <t>Review: model inventory, validation pipeline, risk metrics, audit findings, incidents, regulatory developments, complaints</t>
  </si>
  <si>
    <t>Assess AI governance resources and capability against AI adoption growth</t>
  </si>
  <si>
    <t>Review emerging regulatory requirements and assess AIMS impact</t>
  </si>
  <si>
    <t>Document decisions, actions, resource commitments with accountability and deadlines</t>
  </si>
  <si>
    <t>10</t>
  </si>
  <si>
    <t>10.1</t>
  </si>
  <si>
    <t>Continual Improvement</t>
  </si>
  <si>
    <t>Use audit, monitoring, regulatory feedback for improvement opportunities</t>
  </si>
  <si>
    <t>AI Governance Lead, CRO, Regulatory Affairs</t>
  </si>
  <si>
    <t>Improvement register, benchmarking reports, lessons learned log, industry engagement records</t>
  </si>
  <si>
    <t>Benchmark AI governance maturity against industry peers and regulatory expectations</t>
  </si>
  <si>
    <t>Integrate lessons from AI incidents, near-misses, and industry enforcement actions</t>
  </si>
  <si>
    <t>Track improvement initiatives with ownership and timelines</t>
  </si>
  <si>
    <t>Participate in industry working groups and regulatory consultations on AI governance</t>
  </si>
  <si>
    <t>10.2</t>
  </si>
  <si>
    <t>Nonconformity and Corrective Action</t>
  </si>
  <si>
    <t>Establish NC process integrated with incident management and regulatory breach reporting</t>
  </si>
  <si>
    <t>AI Governance Lead, Operational Risk, Compliance, CRO</t>
  </si>
  <si>
    <t>NC log, RCA records, CA records with SLAs, Board/regulatory notification records</t>
  </si>
  <si>
    <t>CPS 220, Breach reporting</t>
  </si>
  <si>
    <t>Define AI-specific NCs: model failures, biased outcomes, validation gaps, data breaches, unauthorised AI use</t>
  </si>
  <si>
    <t>Conduct root cause analysis (5 Whys, fishbone) for material NCs</t>
  </si>
  <si>
    <t>Implement CAs with SLAs: critical 30 days, high 60 days, medium 90 days</t>
  </si>
  <si>
    <t>Report material AI NCs to Board and regulators as required</t>
  </si>
  <si>
    <t>ISO 42001 Implementation Dashboard — Financial Services</t>
  </si>
  <si>
    <t>Overall Progress Summary</t>
  </si>
  <si>
    <t>Metric</t>
  </si>
  <si>
    <t>Value</t>
  </si>
  <si>
    <t>Total Tasks</t>
  </si>
  <si>
    <t>In Progress</t>
  </si>
  <si>
    <t>Under Review</t>
  </si>
  <si>
    <t>Complete</t>
  </si>
  <si>
    <t>N/A</t>
  </si>
  <si>
    <t>Completion Rate (%)</t>
  </si>
  <si>
    <t>Progress by Clause</t>
  </si>
  <si>
    <t>Title</t>
  </si>
  <si>
    <t>Context of the Organization</t>
  </si>
  <si>
    <t>Leadership</t>
  </si>
  <si>
    <t>Planning</t>
  </si>
  <si>
    <t>Support</t>
  </si>
  <si>
    <t>Operation</t>
  </si>
  <si>
    <t>Performance Evaluation</t>
  </si>
  <si>
    <t>Improvement</t>
  </si>
  <si>
    <t>Regulation / Standard</t>
  </si>
  <si>
    <t>Jurisdiction</t>
  </si>
  <si>
    <t>Key AI Requirements</t>
  </si>
  <si>
    <t>Relevant ISO 42001 Clauses</t>
  </si>
  <si>
    <t>Compliance Status</t>
  </si>
  <si>
    <t>APRA CPS 230 (Operational Risk)</t>
  </si>
  <si>
    <t>Australia</t>
  </si>
  <si>
    <t>Operational resilience incl. AI; third-party risk; critical operations</t>
  </si>
  <si>
    <t>4.3, 8.1</t>
  </si>
  <si>
    <t>Not Assessed</t>
  </si>
  <si>
    <t>APRA CPS 234 (Information Security)</t>
  </si>
  <si>
    <t>Information security for AI systems; data protection; testing</t>
  </si>
  <si>
    <t>4.2, 7.5, 8.1</t>
  </si>
  <si>
    <t>APRA CPG 235 (Data Risk)</t>
  </si>
  <si>
    <t>Data governance, quality, lineage for AI/analytics</t>
  </si>
  <si>
    <t>7.5, 8.1, 8.2</t>
  </si>
  <si>
    <t>APRA CPS 220 (Risk Management)</t>
  </si>
  <si>
    <t>Operational risk framework incl. AI; risk appetite; Board oversight</t>
  </si>
  <si>
    <t>5.1, 6.1, 9.3</t>
  </si>
  <si>
    <t>EU AI Act</t>
  </si>
  <si>
    <t>EU</t>
  </si>
  <si>
    <t>Risk-based AI classification; high-risk requirements for credit/insurance</t>
  </si>
  <si>
    <t>4.3, 6.1.4, 8.3</t>
  </si>
  <si>
    <t>DORA</t>
  </si>
  <si>
    <t>ICT risk management incl. AI; third-party concentration; incident reporting</t>
  </si>
  <si>
    <t>8.1, 10.2</t>
  </si>
  <si>
    <t>SR 11-7 (Model Risk Management)</t>
  </si>
  <si>
    <t>USA (Fed/OCC)</t>
  </si>
  <si>
    <t>Model validation, governance, monitoring; independent validation</t>
  </si>
  <si>
    <t>5.2, 5.3, 8.1, 9.2</t>
  </si>
  <si>
    <t>FCA / PRA AI Guidance</t>
  </si>
  <si>
    <t>UK</t>
  </si>
  <si>
    <t>Consumer duty; fairness; explainability; accountability</t>
  </si>
  <si>
    <t>5.2, 6.1.4, 8.4</t>
  </si>
  <si>
    <t>MiFID II / MiFIR</t>
  </si>
  <si>
    <t>Algorithmic trading controls; market conduct; best execution</t>
  </si>
  <si>
    <t>8.1, 8.3</t>
  </si>
  <si>
    <t>Basel III/IV (BCBS 239)</t>
  </si>
  <si>
    <t>Global</t>
  </si>
  <si>
    <t>OpRisk capital; model risk; data aggregation</t>
  </si>
  <si>
    <t>6.1, 8.2, 9.1</t>
  </si>
  <si>
    <t>OECD AI Principles</t>
  </si>
  <si>
    <t>Transparency, accountability, robustness, fairness</t>
  </si>
  <si>
    <t>5.2, 6.1</t>
  </si>
  <si>
    <t>Australian Privacy Act / APPs</t>
  </si>
  <si>
    <t>Automated decision-making rights; PIAs; consent</t>
  </si>
  <si>
    <t>6.1.4, 7.4</t>
  </si>
  <si>
    <t>GDPR (where applicable)</t>
  </si>
  <si>
    <t>Right to explanation (Art. 22); DPIAs; data minimisation</t>
  </si>
  <si>
    <t>6.1.4, 7.4, 7.5</t>
  </si>
  <si>
    <t>#</t>
  </si>
  <si>
    <t>Document Name</t>
  </si>
  <si>
    <t>Clause Ref</t>
  </si>
  <si>
    <t>Owner</t>
  </si>
  <si>
    <t>Version</t>
  </si>
  <si>
    <t>Date Created</t>
  </si>
  <si>
    <t>Last Reviewed</t>
  </si>
  <si>
    <t>Location/Link</t>
  </si>
  <si>
    <t>AIMS Scope Statement</t>
  </si>
  <si>
    <t>Draft</t>
  </si>
  <si>
    <t>Organizational Context Report</t>
  </si>
  <si>
    <t>Interested Parties &amp; Regulatory Register</t>
  </si>
  <si>
    <t>Multiple</t>
  </si>
  <si>
    <t>AIMS Process Map (Three Lines of Defence)</t>
  </si>
  <si>
    <t>AI Policy (Board-approved)</t>
  </si>
  <si>
    <t>SR 11-7, APRA, FCA</t>
  </si>
  <si>
    <t>Generative AI Acceptable Use Policy</t>
  </si>
  <si>
    <t>RACI Matrix / Governance Org Chart</t>
  </si>
  <si>
    <t>AI Risk Assessment Methodology</t>
  </si>
  <si>
    <t>AI Risk Register (integrated)</t>
  </si>
  <si>
    <t>6.1/8.2</t>
  </si>
  <si>
    <t>AI Impact Assessment Methodology</t>
  </si>
  <si>
    <t>EU AI Act, APPs</t>
  </si>
  <si>
    <t>Disparate Impact Analysis Reports</t>
  </si>
  <si>
    <t>Fair lending</t>
  </si>
  <si>
    <t>AI Objectives &amp; KRIs/KPIs</t>
  </si>
  <si>
    <t>Statement of Applicability (SoA)</t>
  </si>
  <si>
    <t>Risk Treatment Plan</t>
  </si>
  <si>
    <t>Model Lifecycle Procedure</t>
  </si>
  <si>
    <t>Model Documentation Standards</t>
  </si>
  <si>
    <t>Model Inventory</t>
  </si>
  <si>
    <t>7.5/8.1</t>
  </si>
  <si>
    <t>Third-Party AI Due Diligence Records</t>
  </si>
  <si>
    <t>CPS 230, DORA</t>
  </si>
  <si>
    <t>Competency Framework (FS-specific)</t>
  </si>
  <si>
    <t>Training Records (incl. Board AI literacy)</t>
  </si>
  <si>
    <t>Communication Plan</t>
  </si>
  <si>
    <t>Customer Disclosure Templates</t>
  </si>
  <si>
    <t>7.4/8.4</t>
  </si>
  <si>
    <t>Monitoring Plan &amp; KPI Dashboard</t>
  </si>
  <si>
    <t>Model Validation Reports</t>
  </si>
  <si>
    <t>8.1/9.1</t>
  </si>
  <si>
    <t>Internal AI Audit Reports</t>
  </si>
  <si>
    <t>Management Review / Board Papers</t>
  </si>
  <si>
    <t>NC &amp; Corrective Action Log</t>
  </si>
  <si>
    <t>Breach reporting</t>
  </si>
  <si>
    <t>Continual Improvement Register</t>
  </si>
  <si>
    <t>Month</t>
  </si>
  <si>
    <t>Phase</t>
  </si>
  <si>
    <t>Focus Area</t>
  </si>
  <si>
    <t>Key Milestones</t>
  </si>
  <si>
    <t>Phase 1: Initiation</t>
  </si>
  <si>
    <t>Board Endorsement &amp; Setup</t>
  </si>
  <si>
    <t>Board resolution, project team, budget, regulatory advisor engaged</t>
  </si>
  <si>
    <t>Regulatory Mapping</t>
  </si>
  <si>
    <t>Regulatory requirements mapped to ISO 42001, gap analysis initiated</t>
  </si>
  <si>
    <t>Gap Analysis &amp; Scope</t>
  </si>
  <si>
    <t>Gap analysis complete, scope defined, AI/model inventory, risk classification</t>
  </si>
  <si>
    <t>Phase 2: Design</t>
  </si>
  <si>
    <t>AI Policy &amp; Risk Framework</t>
  </si>
  <si>
    <t>AI Policy board-approved, risk methodology aligned to MRM, risk appetite set</t>
  </si>
  <si>
    <t>Risk &amp; Impact Assessments</t>
  </si>
  <si>
    <t>Risk assessments complete, disparate impact analyses, impact assessments</t>
  </si>
  <si>
    <t>Controls &amp; SoA</t>
  </si>
  <si>
    <t>Controls selected per risk tier, SoA drafted, validation procedures designed</t>
  </si>
  <si>
    <t>Procedures &amp; Documentation</t>
  </si>
  <si>
    <t>Procedures finalized, model documentation standards, training materials ready</t>
  </si>
  <si>
    <t>8-9</t>
  </si>
  <si>
    <t>Phase 3: Implementation</t>
  </si>
  <si>
    <t>Rollout</t>
  </si>
  <si>
    <t>Processes operational, Three Lines trained, model inventory populated</t>
  </si>
  <si>
    <t>10-11</t>
  </si>
  <si>
    <t>Monitoring &amp; Evidence</t>
  </si>
  <si>
    <t>Dashboards live, validation pipeline, 3+ months evidence</t>
  </si>
  <si>
    <t>12</t>
  </si>
  <si>
    <t>Operational Maturity</t>
  </si>
  <si>
    <t>Full evidence, customer outcome testing, model benchmarks</t>
  </si>
  <si>
    <t>13</t>
  </si>
  <si>
    <t>Phase 4: Assurance</t>
  </si>
  <si>
    <t>Full AI audit, findings documented, corrective actions initiated</t>
  </si>
  <si>
    <t>14</t>
  </si>
  <si>
    <t>Management &amp; Board Review</t>
  </si>
  <si>
    <t>Management review, Board Risk Committee review, improvements defined</t>
  </si>
  <si>
    <t>15</t>
  </si>
  <si>
    <t>Pre-certification</t>
  </si>
  <si>
    <t>CAs closed, docs complete, readiness assessment, regulatory engagement</t>
  </si>
  <si>
    <t>16-18</t>
  </si>
  <si>
    <t>Certification Audit</t>
  </si>
  <si>
    <t>Stage 1 (documentation) and Stage 2 (on-site), surveillance planning</t>
  </si>
  <si>
    <t>AI Use Case</t>
  </si>
  <si>
    <t>Business Line</t>
  </si>
  <si>
    <t>Risk Tier</t>
  </si>
  <si>
    <t>Key Concerns</t>
  </si>
  <si>
    <t>In Scope?</t>
  </si>
  <si>
    <t>System Owner</t>
  </si>
  <si>
    <t>Validation Status</t>
  </si>
  <si>
    <t>Last Validated</t>
  </si>
  <si>
    <t>Credit scoring / lending decisions</t>
  </si>
  <si>
    <t>Retail/Corporate Banking</t>
  </si>
  <si>
    <t>High</t>
  </si>
  <si>
    <t>Bias, fair lending, explainability, disparate impact</t>
  </si>
  <si>
    <t>Yes</t>
  </si>
  <si>
    <t>Fraud detection</t>
  </si>
  <si>
    <t>Operations/Risk</t>
  </si>
  <si>
    <t>False positives, model drift, adversarial attacks, real-time performance</t>
  </si>
  <si>
    <t>AML / KYC / sanctions screening</t>
  </si>
  <si>
    <t>Compliance</t>
  </si>
  <si>
    <t>False negatives, alert fatigue, regulatory expectations, data quality</t>
  </si>
  <si>
    <t>Algorithmic / HF trading</t>
  </si>
  <si>
    <t>Markets/Trading</t>
  </si>
  <si>
    <t>Market integrity, circuit breakers, flash crash, conduct risk, MiFID II</t>
  </si>
  <si>
    <t>Insurance pricing / underwriting</t>
  </si>
  <si>
    <t>Insurance</t>
  </si>
  <si>
    <t>Discrimination, proxy variables, transparency, customer outcomes</t>
  </si>
  <si>
    <t>Robo-advisory / wealth management</t>
  </si>
  <si>
    <t>Wealth</t>
  </si>
  <si>
    <t>Suitability, best interest duty, personalisation risks</t>
  </si>
  <si>
    <t>Customer service chatbots / LLMs</t>
  </si>
  <si>
    <t>Customer Experience</t>
  </si>
  <si>
    <t>Medium</t>
  </si>
  <si>
    <t>Hallucination, data leakage, complaints, misinformation, conduct</t>
  </si>
  <si>
    <t>Customer onboarding / identity verification</t>
  </si>
  <si>
    <t>Operations</t>
  </si>
  <si>
    <t>Biometric bias, privacy, false rejection, accessibility</t>
  </si>
  <si>
    <t>Collections / debt management</t>
  </si>
  <si>
    <t>Vulnerable customer identification, conduct risk, fair treatment</t>
  </si>
  <si>
    <t>Internal analytics / BI / reporting</t>
  </si>
  <si>
    <t>Various</t>
  </si>
  <si>
    <t>Low</t>
  </si>
  <si>
    <t>Data quality, decision reliance, governance proportionality</t>
  </si>
  <si>
    <t>Process automation (RPA + AI)</t>
  </si>
  <si>
    <t>Error propagation, monitoring, change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</si>
</sst>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1F4E79"/>
      <name val="Arial"/>
      <charset val="1"/>
    </font>
    <font>
      <b/>
      <sz val="12"/>
      <color rgb="FF1F4E79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AEEF3"/>
      </patternFill>
    </fill>
    <fill>
      <patternFill patternType="solid">
        <fgColor rgb="FFDAEEF3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DCDB"/>
        <bgColor rgb="FFFCE4EC"/>
      </patternFill>
    </fill>
    <fill>
      <patternFill patternType="solid">
        <fgColor rgb="FFFCE4EC"/>
        <bgColor rgb="FFF2DCD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  <xf numFmtId="0" fontId="1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2DCDB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N13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10" customWidth="1"/>
    <col min="3" max="3" width="28" customWidth="1"/>
    <col min="4" max="4" width="7" customWidth="1"/>
    <col min="5" max="5" width="52" customWidth="1"/>
    <col min="6" max="6" width="26" customWidth="1"/>
    <col min="7" max="7" width="16" customWidth="1"/>
    <col min="8" max="9" width="13" customWidth="1"/>
    <col min="10" max="10" width="11" customWidth="1"/>
    <col min="11" max="11" width="32" customWidth="1"/>
    <col min="12" max="13" width="18" customWidth="1"/>
    <col min="14" max="14" width="22" customWidth="1"/>
  </cols>
  <sheetData>
    <row r="1" spans="1:14" ht="39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5.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/>
      <c r="I2" s="3" t="s">
        <v>20</v>
      </c>
      <c r="J2" s="3" t="s">
        <v>21</v>
      </c>
      <c r="K2" s="3" t="s">
        <v>22</v>
      </c>
      <c r="L2" s="3" t="s">
        <v>23</v>
      </c>
      <c r="M2" s="3"/>
      <c r="N2" s="3"/>
    </row>
    <row r="3" spans="1:14" ht="35.1">
      <c r="A3" s="4" t="s">
        <v>14</v>
      </c>
      <c r="B3" s="4" t="s">
        <v>15</v>
      </c>
      <c r="C3" s="4" t="s">
        <v>16</v>
      </c>
      <c r="D3" s="4" t="s">
        <v>24</v>
      </c>
      <c r="E3" s="4" t="s">
        <v>25</v>
      </c>
      <c r="F3" s="4" t="s">
        <v>19</v>
      </c>
      <c r="G3" s="4"/>
      <c r="H3" s="4"/>
      <c r="I3" s="4" t="s">
        <v>20</v>
      </c>
      <c r="J3" s="4" t="s">
        <v>21</v>
      </c>
      <c r="K3" s="4" t="s">
        <v>22</v>
      </c>
      <c r="L3" s="4" t="s">
        <v>23</v>
      </c>
      <c r="M3" s="4"/>
      <c r="N3" s="4"/>
    </row>
    <row r="4" spans="1:14" ht="35.1">
      <c r="A4" s="3" t="s">
        <v>14</v>
      </c>
      <c r="B4" s="3" t="s">
        <v>15</v>
      </c>
      <c r="C4" s="3" t="s">
        <v>16</v>
      </c>
      <c r="D4" s="3" t="s">
        <v>26</v>
      </c>
      <c r="E4" s="3" t="s">
        <v>27</v>
      </c>
      <c r="F4" s="3" t="s">
        <v>19</v>
      </c>
      <c r="G4" s="3"/>
      <c r="H4" s="3"/>
      <c r="I4" s="3" t="s">
        <v>20</v>
      </c>
      <c r="J4" s="3" t="s">
        <v>21</v>
      </c>
      <c r="K4" s="3" t="s">
        <v>22</v>
      </c>
      <c r="L4" s="3" t="s">
        <v>23</v>
      </c>
      <c r="M4" s="3"/>
      <c r="N4" s="3"/>
    </row>
    <row r="5" spans="1:14" ht="35.1">
      <c r="A5" s="4" t="s">
        <v>14</v>
      </c>
      <c r="B5" s="4" t="s">
        <v>15</v>
      </c>
      <c r="C5" s="4" t="s">
        <v>16</v>
      </c>
      <c r="D5" s="4" t="s">
        <v>14</v>
      </c>
      <c r="E5" s="4" t="s">
        <v>28</v>
      </c>
      <c r="F5" s="4" t="s">
        <v>19</v>
      </c>
      <c r="G5" s="4"/>
      <c r="H5" s="4"/>
      <c r="I5" s="4" t="s">
        <v>20</v>
      </c>
      <c r="J5" s="4" t="s">
        <v>21</v>
      </c>
      <c r="K5" s="4" t="s">
        <v>22</v>
      </c>
      <c r="L5" s="4" t="s">
        <v>23</v>
      </c>
      <c r="M5" s="4"/>
      <c r="N5" s="4"/>
    </row>
    <row r="6" spans="1:14" ht="35.1">
      <c r="A6" s="3" t="s">
        <v>14</v>
      </c>
      <c r="B6" s="3" t="s">
        <v>15</v>
      </c>
      <c r="C6" s="3" t="s">
        <v>16</v>
      </c>
      <c r="D6" s="3" t="s">
        <v>29</v>
      </c>
      <c r="E6" s="3" t="s">
        <v>30</v>
      </c>
      <c r="F6" s="3" t="s">
        <v>19</v>
      </c>
      <c r="G6" s="3"/>
      <c r="H6" s="3"/>
      <c r="I6" s="3" t="s">
        <v>20</v>
      </c>
      <c r="J6" s="3" t="s">
        <v>21</v>
      </c>
      <c r="K6" s="3" t="s">
        <v>22</v>
      </c>
      <c r="L6" s="3" t="s">
        <v>23</v>
      </c>
      <c r="M6" s="3"/>
      <c r="N6" s="3"/>
    </row>
    <row r="7" spans="1:14" ht="35.1">
      <c r="A7" s="4" t="s">
        <v>14</v>
      </c>
      <c r="B7" s="4" t="s">
        <v>15</v>
      </c>
      <c r="C7" s="4" t="s">
        <v>16</v>
      </c>
      <c r="D7" s="4" t="s">
        <v>31</v>
      </c>
      <c r="E7" s="4" t="s">
        <v>32</v>
      </c>
      <c r="F7" s="4" t="s">
        <v>19</v>
      </c>
      <c r="G7" s="4"/>
      <c r="H7" s="4"/>
      <c r="I7" s="4" t="s">
        <v>20</v>
      </c>
      <c r="J7" s="4" t="s">
        <v>21</v>
      </c>
      <c r="K7" s="4" t="s">
        <v>22</v>
      </c>
      <c r="L7" s="4" t="s">
        <v>23</v>
      </c>
      <c r="M7" s="4"/>
      <c r="N7" s="4"/>
    </row>
    <row r="8" spans="1:14" ht="35.1">
      <c r="A8" s="3" t="s">
        <v>14</v>
      </c>
      <c r="B8" s="3" t="s">
        <v>33</v>
      </c>
      <c r="C8" s="3" t="s">
        <v>34</v>
      </c>
      <c r="D8" s="3" t="s">
        <v>17</v>
      </c>
      <c r="E8" s="3" t="s">
        <v>35</v>
      </c>
      <c r="F8" s="3" t="s">
        <v>36</v>
      </c>
      <c r="G8" s="3"/>
      <c r="H8" s="3"/>
      <c r="I8" s="3" t="s">
        <v>20</v>
      </c>
      <c r="J8" s="3" t="s">
        <v>21</v>
      </c>
      <c r="K8" s="3" t="s">
        <v>37</v>
      </c>
      <c r="L8" s="3" t="s">
        <v>38</v>
      </c>
      <c r="M8" s="3"/>
      <c r="N8" s="3"/>
    </row>
    <row r="9" spans="1:14" ht="35.1">
      <c r="A9" s="4" t="s">
        <v>14</v>
      </c>
      <c r="B9" s="4" t="s">
        <v>33</v>
      </c>
      <c r="C9" s="4" t="s">
        <v>34</v>
      </c>
      <c r="D9" s="4" t="s">
        <v>24</v>
      </c>
      <c r="E9" s="4" t="s">
        <v>39</v>
      </c>
      <c r="F9" s="4" t="s">
        <v>36</v>
      </c>
      <c r="G9" s="4"/>
      <c r="H9" s="4"/>
      <c r="I9" s="4" t="s">
        <v>20</v>
      </c>
      <c r="J9" s="4" t="s">
        <v>21</v>
      </c>
      <c r="K9" s="4" t="s">
        <v>37</v>
      </c>
      <c r="L9" s="4" t="s">
        <v>38</v>
      </c>
      <c r="M9" s="4"/>
      <c r="N9" s="4"/>
    </row>
    <row r="10" spans="1:14" ht="35.1">
      <c r="A10" s="3" t="s">
        <v>14</v>
      </c>
      <c r="B10" s="3" t="s">
        <v>33</v>
      </c>
      <c r="C10" s="3" t="s">
        <v>34</v>
      </c>
      <c r="D10" s="3" t="s">
        <v>26</v>
      </c>
      <c r="E10" s="3" t="s">
        <v>40</v>
      </c>
      <c r="F10" s="3" t="s">
        <v>36</v>
      </c>
      <c r="G10" s="3"/>
      <c r="H10" s="3"/>
      <c r="I10" s="3" t="s">
        <v>20</v>
      </c>
      <c r="J10" s="3" t="s">
        <v>21</v>
      </c>
      <c r="K10" s="3" t="s">
        <v>37</v>
      </c>
      <c r="L10" s="3" t="s">
        <v>38</v>
      </c>
      <c r="M10" s="3"/>
      <c r="N10" s="3"/>
    </row>
    <row r="11" spans="1:14" ht="35.1">
      <c r="A11" s="4" t="s">
        <v>14</v>
      </c>
      <c r="B11" s="4" t="s">
        <v>33</v>
      </c>
      <c r="C11" s="4" t="s">
        <v>34</v>
      </c>
      <c r="D11" s="4" t="s">
        <v>14</v>
      </c>
      <c r="E11" s="4" t="s">
        <v>41</v>
      </c>
      <c r="F11" s="4" t="s">
        <v>36</v>
      </c>
      <c r="G11" s="4"/>
      <c r="H11" s="4"/>
      <c r="I11" s="4" t="s">
        <v>20</v>
      </c>
      <c r="J11" s="4" t="s">
        <v>21</v>
      </c>
      <c r="K11" s="4" t="s">
        <v>37</v>
      </c>
      <c r="L11" s="4" t="s">
        <v>38</v>
      </c>
      <c r="M11" s="4"/>
      <c r="N11" s="4"/>
    </row>
    <row r="12" spans="1:14" ht="35.1">
      <c r="A12" s="3" t="s">
        <v>14</v>
      </c>
      <c r="B12" s="3" t="s">
        <v>33</v>
      </c>
      <c r="C12" s="3" t="s">
        <v>34</v>
      </c>
      <c r="D12" s="3" t="s">
        <v>29</v>
      </c>
      <c r="E12" s="3" t="s">
        <v>42</v>
      </c>
      <c r="F12" s="3" t="s">
        <v>36</v>
      </c>
      <c r="G12" s="3"/>
      <c r="H12" s="3"/>
      <c r="I12" s="3" t="s">
        <v>20</v>
      </c>
      <c r="J12" s="3" t="s">
        <v>21</v>
      </c>
      <c r="K12" s="3" t="s">
        <v>37</v>
      </c>
      <c r="L12" s="3" t="s">
        <v>38</v>
      </c>
      <c r="M12" s="3"/>
      <c r="N12" s="3"/>
    </row>
    <row r="13" spans="1:14" ht="35.1">
      <c r="A13" s="4" t="s">
        <v>14</v>
      </c>
      <c r="B13" s="4" t="s">
        <v>33</v>
      </c>
      <c r="C13" s="4" t="s">
        <v>34</v>
      </c>
      <c r="D13" s="4" t="s">
        <v>31</v>
      </c>
      <c r="E13" s="4" t="s">
        <v>43</v>
      </c>
      <c r="F13" s="4" t="s">
        <v>36</v>
      </c>
      <c r="G13" s="4"/>
      <c r="H13" s="4"/>
      <c r="I13" s="4" t="s">
        <v>20</v>
      </c>
      <c r="J13" s="4" t="s">
        <v>21</v>
      </c>
      <c r="K13" s="4" t="s">
        <v>37</v>
      </c>
      <c r="L13" s="4" t="s">
        <v>38</v>
      </c>
      <c r="M13" s="4"/>
      <c r="N13" s="4"/>
    </row>
    <row r="14" spans="1:14" ht="35.1">
      <c r="A14" s="3" t="s">
        <v>14</v>
      </c>
      <c r="B14" s="3" t="s">
        <v>44</v>
      </c>
      <c r="C14" s="3" t="s">
        <v>45</v>
      </c>
      <c r="D14" s="3" t="s">
        <v>17</v>
      </c>
      <c r="E14" s="3" t="s">
        <v>46</v>
      </c>
      <c r="F14" s="3" t="s">
        <v>47</v>
      </c>
      <c r="G14" s="3"/>
      <c r="H14" s="3"/>
      <c r="I14" s="3" t="s">
        <v>20</v>
      </c>
      <c r="J14" s="3" t="s">
        <v>21</v>
      </c>
      <c r="K14" s="3" t="s">
        <v>48</v>
      </c>
      <c r="L14" s="3" t="s">
        <v>49</v>
      </c>
      <c r="M14" s="3"/>
      <c r="N14" s="3"/>
    </row>
    <row r="15" spans="1:14" ht="35.1">
      <c r="A15" s="4" t="s">
        <v>14</v>
      </c>
      <c r="B15" s="4" t="s">
        <v>44</v>
      </c>
      <c r="C15" s="4" t="s">
        <v>45</v>
      </c>
      <c r="D15" s="4" t="s">
        <v>24</v>
      </c>
      <c r="E15" s="4" t="s">
        <v>50</v>
      </c>
      <c r="F15" s="4" t="s">
        <v>47</v>
      </c>
      <c r="G15" s="4"/>
      <c r="H15" s="4"/>
      <c r="I15" s="4" t="s">
        <v>20</v>
      </c>
      <c r="J15" s="4" t="s">
        <v>21</v>
      </c>
      <c r="K15" s="4" t="s">
        <v>48</v>
      </c>
      <c r="L15" s="4" t="s">
        <v>49</v>
      </c>
      <c r="M15" s="4"/>
      <c r="N15" s="4"/>
    </row>
    <row r="16" spans="1:14" ht="35.1">
      <c r="A16" s="3" t="s">
        <v>14</v>
      </c>
      <c r="B16" s="3" t="s">
        <v>44</v>
      </c>
      <c r="C16" s="3" t="s">
        <v>45</v>
      </c>
      <c r="D16" s="3" t="s">
        <v>26</v>
      </c>
      <c r="E16" s="3" t="s">
        <v>51</v>
      </c>
      <c r="F16" s="3" t="s">
        <v>47</v>
      </c>
      <c r="G16" s="3"/>
      <c r="H16" s="3"/>
      <c r="I16" s="3" t="s">
        <v>20</v>
      </c>
      <c r="J16" s="3" t="s">
        <v>21</v>
      </c>
      <c r="K16" s="3" t="s">
        <v>48</v>
      </c>
      <c r="L16" s="3" t="s">
        <v>49</v>
      </c>
      <c r="M16" s="3"/>
      <c r="N16" s="3"/>
    </row>
    <row r="17" spans="1:14" ht="35.1">
      <c r="A17" s="4" t="s">
        <v>14</v>
      </c>
      <c r="B17" s="4" t="s">
        <v>44</v>
      </c>
      <c r="C17" s="4" t="s">
        <v>45</v>
      </c>
      <c r="D17" s="4" t="s">
        <v>14</v>
      </c>
      <c r="E17" s="4" t="s">
        <v>52</v>
      </c>
      <c r="F17" s="4" t="s">
        <v>47</v>
      </c>
      <c r="G17" s="4"/>
      <c r="H17" s="4"/>
      <c r="I17" s="4" t="s">
        <v>20</v>
      </c>
      <c r="J17" s="4" t="s">
        <v>21</v>
      </c>
      <c r="K17" s="4" t="s">
        <v>48</v>
      </c>
      <c r="L17" s="4" t="s">
        <v>49</v>
      </c>
      <c r="M17" s="4"/>
      <c r="N17" s="4"/>
    </row>
    <row r="18" spans="1:14" ht="35.1">
      <c r="A18" s="3" t="s">
        <v>14</v>
      </c>
      <c r="B18" s="3" t="s">
        <v>44</v>
      </c>
      <c r="C18" s="3" t="s">
        <v>45</v>
      </c>
      <c r="D18" s="3" t="s">
        <v>29</v>
      </c>
      <c r="E18" s="3" t="s">
        <v>53</v>
      </c>
      <c r="F18" s="3" t="s">
        <v>47</v>
      </c>
      <c r="G18" s="3"/>
      <c r="H18" s="3"/>
      <c r="I18" s="3" t="s">
        <v>20</v>
      </c>
      <c r="J18" s="3" t="s">
        <v>21</v>
      </c>
      <c r="K18" s="3" t="s">
        <v>48</v>
      </c>
      <c r="L18" s="3" t="s">
        <v>49</v>
      </c>
      <c r="M18" s="3"/>
      <c r="N18" s="3"/>
    </row>
    <row r="19" spans="1:14" ht="35.1">
      <c r="A19" s="4" t="s">
        <v>14</v>
      </c>
      <c r="B19" s="4" t="s">
        <v>44</v>
      </c>
      <c r="C19" s="4" t="s">
        <v>45</v>
      </c>
      <c r="D19" s="4" t="s">
        <v>31</v>
      </c>
      <c r="E19" s="4" t="s">
        <v>54</v>
      </c>
      <c r="F19" s="4" t="s">
        <v>47</v>
      </c>
      <c r="G19" s="4"/>
      <c r="H19" s="4"/>
      <c r="I19" s="4" t="s">
        <v>20</v>
      </c>
      <c r="J19" s="4" t="s">
        <v>21</v>
      </c>
      <c r="K19" s="4" t="s">
        <v>48</v>
      </c>
      <c r="L19" s="4" t="s">
        <v>49</v>
      </c>
      <c r="M19" s="4"/>
      <c r="N19" s="4"/>
    </row>
    <row r="20" spans="1:14" ht="35.1">
      <c r="A20" s="3" t="s">
        <v>14</v>
      </c>
      <c r="B20" s="3" t="s">
        <v>55</v>
      </c>
      <c r="C20" s="3" t="s">
        <v>56</v>
      </c>
      <c r="D20" s="3" t="s">
        <v>17</v>
      </c>
      <c r="E20" s="3" t="s">
        <v>57</v>
      </c>
      <c r="F20" s="3" t="s">
        <v>58</v>
      </c>
      <c r="G20" s="3"/>
      <c r="H20" s="3"/>
      <c r="I20" s="3" t="s">
        <v>20</v>
      </c>
      <c r="J20" s="3" t="s">
        <v>21</v>
      </c>
      <c r="K20" s="3" t="s">
        <v>59</v>
      </c>
      <c r="L20" s="3" t="s">
        <v>60</v>
      </c>
      <c r="M20" s="3"/>
      <c r="N20" s="3"/>
    </row>
    <row r="21" spans="1:14" ht="35.1">
      <c r="A21" s="4" t="s">
        <v>14</v>
      </c>
      <c r="B21" s="4" t="s">
        <v>55</v>
      </c>
      <c r="C21" s="4" t="s">
        <v>56</v>
      </c>
      <c r="D21" s="4" t="s">
        <v>24</v>
      </c>
      <c r="E21" s="4" t="s">
        <v>61</v>
      </c>
      <c r="F21" s="4" t="s">
        <v>58</v>
      </c>
      <c r="G21" s="4"/>
      <c r="H21" s="4"/>
      <c r="I21" s="4" t="s">
        <v>20</v>
      </c>
      <c r="J21" s="4" t="s">
        <v>21</v>
      </c>
      <c r="K21" s="4" t="s">
        <v>59</v>
      </c>
      <c r="L21" s="4" t="s">
        <v>60</v>
      </c>
      <c r="M21" s="4"/>
      <c r="N21" s="4"/>
    </row>
    <row r="22" spans="1:14" ht="35.1">
      <c r="A22" s="3" t="s">
        <v>14</v>
      </c>
      <c r="B22" s="3" t="s">
        <v>55</v>
      </c>
      <c r="C22" s="3" t="s">
        <v>56</v>
      </c>
      <c r="D22" s="3" t="s">
        <v>26</v>
      </c>
      <c r="E22" s="3" t="s">
        <v>62</v>
      </c>
      <c r="F22" s="3" t="s">
        <v>58</v>
      </c>
      <c r="G22" s="3"/>
      <c r="H22" s="3"/>
      <c r="I22" s="3" t="s">
        <v>20</v>
      </c>
      <c r="J22" s="3" t="s">
        <v>21</v>
      </c>
      <c r="K22" s="3" t="s">
        <v>59</v>
      </c>
      <c r="L22" s="3" t="s">
        <v>60</v>
      </c>
      <c r="M22" s="3"/>
      <c r="N22" s="3"/>
    </row>
    <row r="23" spans="1:14" ht="35.1">
      <c r="A23" s="4" t="s">
        <v>14</v>
      </c>
      <c r="B23" s="4" t="s">
        <v>55</v>
      </c>
      <c r="C23" s="4" t="s">
        <v>56</v>
      </c>
      <c r="D23" s="4" t="s">
        <v>14</v>
      </c>
      <c r="E23" s="4" t="s">
        <v>63</v>
      </c>
      <c r="F23" s="4" t="s">
        <v>58</v>
      </c>
      <c r="G23" s="4"/>
      <c r="H23" s="4"/>
      <c r="I23" s="4" t="s">
        <v>20</v>
      </c>
      <c r="J23" s="4" t="s">
        <v>21</v>
      </c>
      <c r="K23" s="4" t="s">
        <v>59</v>
      </c>
      <c r="L23" s="4" t="s">
        <v>60</v>
      </c>
      <c r="M23" s="4"/>
      <c r="N23" s="4"/>
    </row>
    <row r="24" spans="1:14" ht="35.1">
      <c r="A24" s="3" t="s">
        <v>29</v>
      </c>
      <c r="B24" s="3" t="s">
        <v>64</v>
      </c>
      <c r="C24" s="3" t="s">
        <v>65</v>
      </c>
      <c r="D24" s="3" t="s">
        <v>17</v>
      </c>
      <c r="E24" s="3" t="s">
        <v>66</v>
      </c>
      <c r="F24" s="3" t="s">
        <v>67</v>
      </c>
      <c r="G24" s="3"/>
      <c r="H24" s="3"/>
      <c r="I24" s="3" t="s">
        <v>20</v>
      </c>
      <c r="J24" s="3" t="s">
        <v>21</v>
      </c>
      <c r="K24" s="3" t="s">
        <v>68</v>
      </c>
      <c r="L24" s="3" t="s">
        <v>69</v>
      </c>
      <c r="M24" s="3"/>
      <c r="N24" s="3"/>
    </row>
    <row r="25" spans="1:14" ht="35.1">
      <c r="A25" s="4" t="s">
        <v>29</v>
      </c>
      <c r="B25" s="4" t="s">
        <v>64</v>
      </c>
      <c r="C25" s="4" t="s">
        <v>65</v>
      </c>
      <c r="D25" s="4" t="s">
        <v>24</v>
      </c>
      <c r="E25" s="4" t="s">
        <v>70</v>
      </c>
      <c r="F25" s="4" t="s">
        <v>67</v>
      </c>
      <c r="G25" s="4"/>
      <c r="H25" s="4"/>
      <c r="I25" s="4" t="s">
        <v>20</v>
      </c>
      <c r="J25" s="4" t="s">
        <v>21</v>
      </c>
      <c r="K25" s="4" t="s">
        <v>68</v>
      </c>
      <c r="L25" s="4" t="s">
        <v>69</v>
      </c>
      <c r="M25" s="4"/>
      <c r="N25" s="4"/>
    </row>
    <row r="26" spans="1:14" ht="35.1">
      <c r="A26" s="3" t="s">
        <v>29</v>
      </c>
      <c r="B26" s="3" t="s">
        <v>64</v>
      </c>
      <c r="C26" s="3" t="s">
        <v>65</v>
      </c>
      <c r="D26" s="3" t="s">
        <v>26</v>
      </c>
      <c r="E26" s="3" t="s">
        <v>71</v>
      </c>
      <c r="F26" s="3" t="s">
        <v>67</v>
      </c>
      <c r="G26" s="3"/>
      <c r="H26" s="3"/>
      <c r="I26" s="3" t="s">
        <v>20</v>
      </c>
      <c r="J26" s="3" t="s">
        <v>21</v>
      </c>
      <c r="K26" s="3" t="s">
        <v>68</v>
      </c>
      <c r="L26" s="3" t="s">
        <v>69</v>
      </c>
      <c r="M26" s="3"/>
      <c r="N26" s="3"/>
    </row>
    <row r="27" spans="1:14" ht="35.1">
      <c r="A27" s="4" t="s">
        <v>29</v>
      </c>
      <c r="B27" s="4" t="s">
        <v>64</v>
      </c>
      <c r="C27" s="4" t="s">
        <v>65</v>
      </c>
      <c r="D27" s="4" t="s">
        <v>14</v>
      </c>
      <c r="E27" s="4" t="s">
        <v>72</v>
      </c>
      <c r="F27" s="4" t="s">
        <v>67</v>
      </c>
      <c r="G27" s="4"/>
      <c r="H27" s="4"/>
      <c r="I27" s="4" t="s">
        <v>20</v>
      </c>
      <c r="J27" s="4" t="s">
        <v>21</v>
      </c>
      <c r="K27" s="4" t="s">
        <v>68</v>
      </c>
      <c r="L27" s="4" t="s">
        <v>69</v>
      </c>
      <c r="M27" s="4"/>
      <c r="N27" s="4"/>
    </row>
    <row r="28" spans="1:14" ht="35.1">
      <c r="A28" s="3" t="s">
        <v>29</v>
      </c>
      <c r="B28" s="3" t="s">
        <v>64</v>
      </c>
      <c r="C28" s="3" t="s">
        <v>65</v>
      </c>
      <c r="D28" s="3" t="s">
        <v>29</v>
      </c>
      <c r="E28" s="3" t="s">
        <v>73</v>
      </c>
      <c r="F28" s="3" t="s">
        <v>67</v>
      </c>
      <c r="G28" s="3"/>
      <c r="H28" s="3"/>
      <c r="I28" s="3" t="s">
        <v>20</v>
      </c>
      <c r="J28" s="3" t="s">
        <v>21</v>
      </c>
      <c r="K28" s="3" t="s">
        <v>68</v>
      </c>
      <c r="L28" s="3" t="s">
        <v>69</v>
      </c>
      <c r="M28" s="3"/>
      <c r="N28" s="3"/>
    </row>
    <row r="29" spans="1:14" ht="35.1">
      <c r="A29" s="4" t="s">
        <v>29</v>
      </c>
      <c r="B29" s="4" t="s">
        <v>64</v>
      </c>
      <c r="C29" s="4" t="s">
        <v>65</v>
      </c>
      <c r="D29" s="4" t="s">
        <v>31</v>
      </c>
      <c r="E29" s="4" t="s">
        <v>74</v>
      </c>
      <c r="F29" s="4" t="s">
        <v>67</v>
      </c>
      <c r="G29" s="4"/>
      <c r="H29" s="4"/>
      <c r="I29" s="4" t="s">
        <v>20</v>
      </c>
      <c r="J29" s="4" t="s">
        <v>21</v>
      </c>
      <c r="K29" s="4" t="s">
        <v>68</v>
      </c>
      <c r="L29" s="4" t="s">
        <v>69</v>
      </c>
      <c r="M29" s="4"/>
      <c r="N29" s="4"/>
    </row>
    <row r="30" spans="1:14" ht="35.1">
      <c r="A30" s="3" t="s">
        <v>29</v>
      </c>
      <c r="B30" s="3" t="s">
        <v>75</v>
      </c>
      <c r="C30" s="3" t="s">
        <v>76</v>
      </c>
      <c r="D30" s="3" t="s">
        <v>17</v>
      </c>
      <c r="E30" s="3" t="s">
        <v>77</v>
      </c>
      <c r="F30" s="3" t="s">
        <v>78</v>
      </c>
      <c r="G30" s="3"/>
      <c r="H30" s="3"/>
      <c r="I30" s="3" t="s">
        <v>20</v>
      </c>
      <c r="J30" s="3" t="s">
        <v>21</v>
      </c>
      <c r="K30" s="3" t="s">
        <v>79</v>
      </c>
      <c r="L30" s="3" t="s">
        <v>80</v>
      </c>
      <c r="M30" s="3"/>
      <c r="N30" s="3"/>
    </row>
    <row r="31" spans="1:14" ht="35.1">
      <c r="A31" s="4" t="s">
        <v>29</v>
      </c>
      <c r="B31" s="4" t="s">
        <v>75</v>
      </c>
      <c r="C31" s="4" t="s">
        <v>76</v>
      </c>
      <c r="D31" s="4" t="s">
        <v>24</v>
      </c>
      <c r="E31" s="4" t="s">
        <v>81</v>
      </c>
      <c r="F31" s="4" t="s">
        <v>78</v>
      </c>
      <c r="G31" s="4"/>
      <c r="H31" s="4"/>
      <c r="I31" s="4" t="s">
        <v>20</v>
      </c>
      <c r="J31" s="4" t="s">
        <v>21</v>
      </c>
      <c r="K31" s="4" t="s">
        <v>79</v>
      </c>
      <c r="L31" s="4" t="s">
        <v>80</v>
      </c>
      <c r="M31" s="4"/>
      <c r="N31" s="4"/>
    </row>
    <row r="32" spans="1:14" ht="35.1">
      <c r="A32" s="3" t="s">
        <v>29</v>
      </c>
      <c r="B32" s="3" t="s">
        <v>75</v>
      </c>
      <c r="C32" s="3" t="s">
        <v>76</v>
      </c>
      <c r="D32" s="3" t="s">
        <v>26</v>
      </c>
      <c r="E32" s="3" t="s">
        <v>82</v>
      </c>
      <c r="F32" s="3" t="s">
        <v>78</v>
      </c>
      <c r="G32" s="3"/>
      <c r="H32" s="3"/>
      <c r="I32" s="3" t="s">
        <v>20</v>
      </c>
      <c r="J32" s="3" t="s">
        <v>21</v>
      </c>
      <c r="K32" s="3" t="s">
        <v>79</v>
      </c>
      <c r="L32" s="3" t="s">
        <v>80</v>
      </c>
      <c r="M32" s="3"/>
      <c r="N32" s="3"/>
    </row>
    <row r="33" spans="1:14" ht="35.1">
      <c r="A33" s="4" t="s">
        <v>29</v>
      </c>
      <c r="B33" s="4" t="s">
        <v>75</v>
      </c>
      <c r="C33" s="4" t="s">
        <v>76</v>
      </c>
      <c r="D33" s="4" t="s">
        <v>14</v>
      </c>
      <c r="E33" s="4" t="s">
        <v>83</v>
      </c>
      <c r="F33" s="4" t="s">
        <v>78</v>
      </c>
      <c r="G33" s="4"/>
      <c r="H33" s="4"/>
      <c r="I33" s="4" t="s">
        <v>20</v>
      </c>
      <c r="J33" s="4" t="s">
        <v>21</v>
      </c>
      <c r="K33" s="4" t="s">
        <v>79</v>
      </c>
      <c r="L33" s="4" t="s">
        <v>80</v>
      </c>
      <c r="M33" s="4"/>
      <c r="N33" s="4"/>
    </row>
    <row r="34" spans="1:14" ht="35.1">
      <c r="A34" s="3" t="s">
        <v>29</v>
      </c>
      <c r="B34" s="3" t="s">
        <v>75</v>
      </c>
      <c r="C34" s="3" t="s">
        <v>76</v>
      </c>
      <c r="D34" s="3" t="s">
        <v>29</v>
      </c>
      <c r="E34" s="3" t="s">
        <v>84</v>
      </c>
      <c r="F34" s="3" t="s">
        <v>78</v>
      </c>
      <c r="G34" s="3"/>
      <c r="H34" s="3"/>
      <c r="I34" s="3" t="s">
        <v>20</v>
      </c>
      <c r="J34" s="3" t="s">
        <v>21</v>
      </c>
      <c r="K34" s="3" t="s">
        <v>79</v>
      </c>
      <c r="L34" s="3" t="s">
        <v>80</v>
      </c>
      <c r="M34" s="3"/>
      <c r="N34" s="3"/>
    </row>
    <row r="35" spans="1:14" ht="35.1">
      <c r="A35" s="4" t="s">
        <v>29</v>
      </c>
      <c r="B35" s="4" t="s">
        <v>75</v>
      </c>
      <c r="C35" s="4" t="s">
        <v>76</v>
      </c>
      <c r="D35" s="4" t="s">
        <v>31</v>
      </c>
      <c r="E35" s="4" t="s">
        <v>85</v>
      </c>
      <c r="F35" s="4" t="s">
        <v>78</v>
      </c>
      <c r="G35" s="4"/>
      <c r="H35" s="4"/>
      <c r="I35" s="4" t="s">
        <v>20</v>
      </c>
      <c r="J35" s="4" t="s">
        <v>21</v>
      </c>
      <c r="K35" s="4" t="s">
        <v>79</v>
      </c>
      <c r="L35" s="4" t="s">
        <v>80</v>
      </c>
      <c r="M35" s="4"/>
      <c r="N35" s="4"/>
    </row>
    <row r="36" spans="1:14" ht="35.1">
      <c r="A36" s="3" t="s">
        <v>29</v>
      </c>
      <c r="B36" s="3" t="s">
        <v>86</v>
      </c>
      <c r="C36" s="3" t="s">
        <v>87</v>
      </c>
      <c r="D36" s="3" t="s">
        <v>17</v>
      </c>
      <c r="E36" s="3" t="s">
        <v>88</v>
      </c>
      <c r="F36" s="3" t="s">
        <v>89</v>
      </c>
      <c r="G36" s="3"/>
      <c r="H36" s="3"/>
      <c r="I36" s="3" t="s">
        <v>20</v>
      </c>
      <c r="J36" s="3" t="s">
        <v>21</v>
      </c>
      <c r="K36" s="3" t="s">
        <v>90</v>
      </c>
      <c r="L36" s="3" t="s">
        <v>91</v>
      </c>
      <c r="M36" s="3"/>
      <c r="N36" s="3"/>
    </row>
    <row r="37" spans="1:14" ht="35.1">
      <c r="A37" s="4" t="s">
        <v>29</v>
      </c>
      <c r="B37" s="4" t="s">
        <v>86</v>
      </c>
      <c r="C37" s="4" t="s">
        <v>87</v>
      </c>
      <c r="D37" s="4" t="s">
        <v>24</v>
      </c>
      <c r="E37" s="4" t="s">
        <v>92</v>
      </c>
      <c r="F37" s="4" t="s">
        <v>89</v>
      </c>
      <c r="G37" s="4"/>
      <c r="H37" s="4"/>
      <c r="I37" s="4" t="s">
        <v>20</v>
      </c>
      <c r="J37" s="4" t="s">
        <v>21</v>
      </c>
      <c r="K37" s="4" t="s">
        <v>90</v>
      </c>
      <c r="L37" s="4" t="s">
        <v>91</v>
      </c>
      <c r="M37" s="4"/>
      <c r="N37" s="4"/>
    </row>
    <row r="38" spans="1:14" ht="35.1">
      <c r="A38" s="3" t="s">
        <v>29</v>
      </c>
      <c r="B38" s="3" t="s">
        <v>86</v>
      </c>
      <c r="C38" s="3" t="s">
        <v>87</v>
      </c>
      <c r="D38" s="3" t="s">
        <v>26</v>
      </c>
      <c r="E38" s="3" t="s">
        <v>93</v>
      </c>
      <c r="F38" s="3" t="s">
        <v>89</v>
      </c>
      <c r="G38" s="3"/>
      <c r="H38" s="3"/>
      <c r="I38" s="3" t="s">
        <v>20</v>
      </c>
      <c r="J38" s="3" t="s">
        <v>21</v>
      </c>
      <c r="K38" s="3" t="s">
        <v>90</v>
      </c>
      <c r="L38" s="3" t="s">
        <v>91</v>
      </c>
      <c r="M38" s="3"/>
      <c r="N38" s="3"/>
    </row>
    <row r="39" spans="1:14" ht="35.1">
      <c r="A39" s="4" t="s">
        <v>29</v>
      </c>
      <c r="B39" s="4" t="s">
        <v>86</v>
      </c>
      <c r="C39" s="4" t="s">
        <v>87</v>
      </c>
      <c r="D39" s="4" t="s">
        <v>14</v>
      </c>
      <c r="E39" s="4" t="s">
        <v>94</v>
      </c>
      <c r="F39" s="4" t="s">
        <v>89</v>
      </c>
      <c r="G39" s="4"/>
      <c r="H39" s="4"/>
      <c r="I39" s="4" t="s">
        <v>20</v>
      </c>
      <c r="J39" s="4" t="s">
        <v>21</v>
      </c>
      <c r="K39" s="4" t="s">
        <v>90</v>
      </c>
      <c r="L39" s="4" t="s">
        <v>91</v>
      </c>
      <c r="M39" s="4"/>
      <c r="N39" s="4"/>
    </row>
    <row r="40" spans="1:14" ht="35.1">
      <c r="A40" s="3" t="s">
        <v>29</v>
      </c>
      <c r="B40" s="3" t="s">
        <v>86</v>
      </c>
      <c r="C40" s="3" t="s">
        <v>87</v>
      </c>
      <c r="D40" s="3" t="s">
        <v>29</v>
      </c>
      <c r="E40" s="3" t="s">
        <v>95</v>
      </c>
      <c r="F40" s="3" t="s">
        <v>89</v>
      </c>
      <c r="G40" s="3"/>
      <c r="H40" s="3"/>
      <c r="I40" s="3" t="s">
        <v>20</v>
      </c>
      <c r="J40" s="3" t="s">
        <v>21</v>
      </c>
      <c r="K40" s="3" t="s">
        <v>90</v>
      </c>
      <c r="L40" s="3" t="s">
        <v>91</v>
      </c>
      <c r="M40" s="3"/>
      <c r="N40" s="3"/>
    </row>
    <row r="41" spans="1:14" ht="35.1">
      <c r="A41" s="4" t="s">
        <v>29</v>
      </c>
      <c r="B41" s="4" t="s">
        <v>86</v>
      </c>
      <c r="C41" s="4" t="s">
        <v>87</v>
      </c>
      <c r="D41" s="4" t="s">
        <v>31</v>
      </c>
      <c r="E41" s="4" t="s">
        <v>96</v>
      </c>
      <c r="F41" s="4" t="s">
        <v>89</v>
      </c>
      <c r="G41" s="4"/>
      <c r="H41" s="4"/>
      <c r="I41" s="4" t="s">
        <v>20</v>
      </c>
      <c r="J41" s="4" t="s">
        <v>21</v>
      </c>
      <c r="K41" s="4" t="s">
        <v>90</v>
      </c>
      <c r="L41" s="4" t="s">
        <v>91</v>
      </c>
      <c r="M41" s="4"/>
      <c r="N41" s="4"/>
    </row>
    <row r="42" spans="1:14" ht="46.35">
      <c r="A42" s="3" t="s">
        <v>31</v>
      </c>
      <c r="B42" s="3" t="s">
        <v>97</v>
      </c>
      <c r="C42" s="3" t="s">
        <v>98</v>
      </c>
      <c r="D42" s="3" t="s">
        <v>17</v>
      </c>
      <c r="E42" s="3" t="s">
        <v>99</v>
      </c>
      <c r="F42" s="3" t="s">
        <v>100</v>
      </c>
      <c r="G42" s="3"/>
      <c r="H42" s="3"/>
      <c r="I42" s="3" t="s">
        <v>20</v>
      </c>
      <c r="J42" s="3" t="s">
        <v>21</v>
      </c>
      <c r="K42" s="3" t="s">
        <v>101</v>
      </c>
      <c r="L42" s="3" t="s">
        <v>102</v>
      </c>
      <c r="M42" s="3"/>
      <c r="N42" s="3"/>
    </row>
    <row r="43" spans="1:14" ht="46.35">
      <c r="A43" s="4" t="s">
        <v>31</v>
      </c>
      <c r="B43" s="4" t="s">
        <v>97</v>
      </c>
      <c r="C43" s="4" t="s">
        <v>98</v>
      </c>
      <c r="D43" s="4" t="s">
        <v>24</v>
      </c>
      <c r="E43" s="4" t="s">
        <v>103</v>
      </c>
      <c r="F43" s="4" t="s">
        <v>100</v>
      </c>
      <c r="G43" s="4"/>
      <c r="H43" s="4"/>
      <c r="I43" s="4" t="s">
        <v>20</v>
      </c>
      <c r="J43" s="4" t="s">
        <v>21</v>
      </c>
      <c r="K43" s="4" t="s">
        <v>101</v>
      </c>
      <c r="L43" s="4" t="s">
        <v>102</v>
      </c>
      <c r="M43" s="4"/>
      <c r="N43" s="4"/>
    </row>
    <row r="44" spans="1:14" ht="46.35">
      <c r="A44" s="3" t="s">
        <v>31</v>
      </c>
      <c r="B44" s="3" t="s">
        <v>97</v>
      </c>
      <c r="C44" s="3" t="s">
        <v>98</v>
      </c>
      <c r="D44" s="3" t="s">
        <v>26</v>
      </c>
      <c r="E44" s="3" t="s">
        <v>104</v>
      </c>
      <c r="F44" s="3" t="s">
        <v>100</v>
      </c>
      <c r="G44" s="3"/>
      <c r="H44" s="3"/>
      <c r="I44" s="3" t="s">
        <v>20</v>
      </c>
      <c r="J44" s="3" t="s">
        <v>21</v>
      </c>
      <c r="K44" s="3" t="s">
        <v>101</v>
      </c>
      <c r="L44" s="3" t="s">
        <v>102</v>
      </c>
      <c r="M44" s="3"/>
      <c r="N44" s="3"/>
    </row>
    <row r="45" spans="1:14" ht="46.35">
      <c r="A45" s="4" t="s">
        <v>31</v>
      </c>
      <c r="B45" s="4" t="s">
        <v>97</v>
      </c>
      <c r="C45" s="4" t="s">
        <v>98</v>
      </c>
      <c r="D45" s="4" t="s">
        <v>14</v>
      </c>
      <c r="E45" s="4" t="s">
        <v>105</v>
      </c>
      <c r="F45" s="4" t="s">
        <v>100</v>
      </c>
      <c r="G45" s="4"/>
      <c r="H45" s="4"/>
      <c r="I45" s="4" t="s">
        <v>20</v>
      </c>
      <c r="J45" s="4" t="s">
        <v>21</v>
      </c>
      <c r="K45" s="4" t="s">
        <v>101</v>
      </c>
      <c r="L45" s="4" t="s">
        <v>102</v>
      </c>
      <c r="M45" s="4"/>
      <c r="N45" s="4"/>
    </row>
    <row r="46" spans="1:14" ht="46.35">
      <c r="A46" s="3" t="s">
        <v>31</v>
      </c>
      <c r="B46" s="3" t="s">
        <v>97</v>
      </c>
      <c r="C46" s="3" t="s">
        <v>98</v>
      </c>
      <c r="D46" s="3" t="s">
        <v>29</v>
      </c>
      <c r="E46" s="3" t="s">
        <v>106</v>
      </c>
      <c r="F46" s="3" t="s">
        <v>100</v>
      </c>
      <c r="G46" s="3"/>
      <c r="H46" s="3"/>
      <c r="I46" s="3" t="s">
        <v>20</v>
      </c>
      <c r="J46" s="3" t="s">
        <v>21</v>
      </c>
      <c r="K46" s="3" t="s">
        <v>101</v>
      </c>
      <c r="L46" s="3" t="s">
        <v>102</v>
      </c>
      <c r="M46" s="3"/>
      <c r="N46" s="3"/>
    </row>
    <row r="47" spans="1:14" ht="46.35">
      <c r="A47" s="4" t="s">
        <v>31</v>
      </c>
      <c r="B47" s="4" t="s">
        <v>97</v>
      </c>
      <c r="C47" s="4" t="s">
        <v>98</v>
      </c>
      <c r="D47" s="4" t="s">
        <v>31</v>
      </c>
      <c r="E47" s="4" t="s">
        <v>107</v>
      </c>
      <c r="F47" s="4" t="s">
        <v>100</v>
      </c>
      <c r="G47" s="4"/>
      <c r="H47" s="4"/>
      <c r="I47" s="4" t="s">
        <v>20</v>
      </c>
      <c r="J47" s="4" t="s">
        <v>21</v>
      </c>
      <c r="K47" s="4" t="s">
        <v>101</v>
      </c>
      <c r="L47" s="4" t="s">
        <v>102</v>
      </c>
      <c r="M47" s="4"/>
      <c r="N47" s="4"/>
    </row>
    <row r="48" spans="1:14" ht="46.35">
      <c r="A48" s="3" t="s">
        <v>31</v>
      </c>
      <c r="B48" s="3" t="s">
        <v>97</v>
      </c>
      <c r="C48" s="3" t="s">
        <v>98</v>
      </c>
      <c r="D48" s="3" t="s">
        <v>108</v>
      </c>
      <c r="E48" s="3" t="s">
        <v>109</v>
      </c>
      <c r="F48" s="3" t="s">
        <v>100</v>
      </c>
      <c r="G48" s="3"/>
      <c r="H48" s="3"/>
      <c r="I48" s="3" t="s">
        <v>20</v>
      </c>
      <c r="J48" s="3" t="s">
        <v>21</v>
      </c>
      <c r="K48" s="3" t="s">
        <v>101</v>
      </c>
      <c r="L48" s="3" t="s">
        <v>102</v>
      </c>
      <c r="M48" s="3"/>
      <c r="N48" s="3"/>
    </row>
    <row r="49" spans="1:14" ht="35.1">
      <c r="A49" s="4" t="s">
        <v>31</v>
      </c>
      <c r="B49" s="4" t="s">
        <v>110</v>
      </c>
      <c r="C49" s="4" t="s">
        <v>111</v>
      </c>
      <c r="D49" s="4" t="s">
        <v>17</v>
      </c>
      <c r="E49" s="4" t="s">
        <v>112</v>
      </c>
      <c r="F49" s="4" t="s">
        <v>113</v>
      </c>
      <c r="G49" s="4"/>
      <c r="H49" s="4"/>
      <c r="I49" s="4" t="s">
        <v>20</v>
      </c>
      <c r="J49" s="4" t="s">
        <v>21</v>
      </c>
      <c r="K49" s="4" t="s">
        <v>114</v>
      </c>
      <c r="L49" s="4" t="s">
        <v>115</v>
      </c>
      <c r="M49" s="4"/>
      <c r="N49" s="4"/>
    </row>
    <row r="50" spans="1:14" ht="35.1">
      <c r="A50" s="3" t="s">
        <v>31</v>
      </c>
      <c r="B50" s="3" t="s">
        <v>110</v>
      </c>
      <c r="C50" s="3" t="s">
        <v>111</v>
      </c>
      <c r="D50" s="3" t="s">
        <v>24</v>
      </c>
      <c r="E50" s="3" t="s">
        <v>116</v>
      </c>
      <c r="F50" s="3" t="s">
        <v>113</v>
      </c>
      <c r="G50" s="3"/>
      <c r="H50" s="3"/>
      <c r="I50" s="3" t="s">
        <v>20</v>
      </c>
      <c r="J50" s="3" t="s">
        <v>21</v>
      </c>
      <c r="K50" s="3" t="s">
        <v>114</v>
      </c>
      <c r="L50" s="3" t="s">
        <v>115</v>
      </c>
      <c r="M50" s="3"/>
      <c r="N50" s="3"/>
    </row>
    <row r="51" spans="1:14" ht="35.1">
      <c r="A51" s="4" t="s">
        <v>31</v>
      </c>
      <c r="B51" s="4" t="s">
        <v>110</v>
      </c>
      <c r="C51" s="4" t="s">
        <v>111</v>
      </c>
      <c r="D51" s="4" t="s">
        <v>26</v>
      </c>
      <c r="E51" s="4" t="s">
        <v>117</v>
      </c>
      <c r="F51" s="4" t="s">
        <v>113</v>
      </c>
      <c r="G51" s="4"/>
      <c r="H51" s="4"/>
      <c r="I51" s="4" t="s">
        <v>20</v>
      </c>
      <c r="J51" s="4" t="s">
        <v>21</v>
      </c>
      <c r="K51" s="4" t="s">
        <v>114</v>
      </c>
      <c r="L51" s="4" t="s">
        <v>115</v>
      </c>
      <c r="M51" s="4"/>
      <c r="N51" s="4"/>
    </row>
    <row r="52" spans="1:14" ht="35.1">
      <c r="A52" s="3" t="s">
        <v>31</v>
      </c>
      <c r="B52" s="3" t="s">
        <v>110</v>
      </c>
      <c r="C52" s="3" t="s">
        <v>111</v>
      </c>
      <c r="D52" s="3" t="s">
        <v>14</v>
      </c>
      <c r="E52" s="3" t="s">
        <v>118</v>
      </c>
      <c r="F52" s="3" t="s">
        <v>113</v>
      </c>
      <c r="G52" s="3"/>
      <c r="H52" s="3"/>
      <c r="I52" s="3" t="s">
        <v>20</v>
      </c>
      <c r="J52" s="3" t="s">
        <v>21</v>
      </c>
      <c r="K52" s="3" t="s">
        <v>114</v>
      </c>
      <c r="L52" s="3" t="s">
        <v>115</v>
      </c>
      <c r="M52" s="3"/>
      <c r="N52" s="3"/>
    </row>
    <row r="53" spans="1:14" ht="35.1">
      <c r="A53" s="4" t="s">
        <v>31</v>
      </c>
      <c r="B53" s="4" t="s">
        <v>110</v>
      </c>
      <c r="C53" s="4" t="s">
        <v>111</v>
      </c>
      <c r="D53" s="4" t="s">
        <v>29</v>
      </c>
      <c r="E53" s="4" t="s">
        <v>119</v>
      </c>
      <c r="F53" s="4" t="s">
        <v>113</v>
      </c>
      <c r="G53" s="4"/>
      <c r="H53" s="4"/>
      <c r="I53" s="4" t="s">
        <v>20</v>
      </c>
      <c r="J53" s="4" t="s">
        <v>21</v>
      </c>
      <c r="K53" s="4" t="s">
        <v>114</v>
      </c>
      <c r="L53" s="4" t="s">
        <v>115</v>
      </c>
      <c r="M53" s="4"/>
      <c r="N53" s="4"/>
    </row>
    <row r="54" spans="1:14" ht="35.1">
      <c r="A54" s="3" t="s">
        <v>31</v>
      </c>
      <c r="B54" s="3" t="s">
        <v>110</v>
      </c>
      <c r="C54" s="3" t="s">
        <v>111</v>
      </c>
      <c r="D54" s="3" t="s">
        <v>31</v>
      </c>
      <c r="E54" s="3" t="s">
        <v>120</v>
      </c>
      <c r="F54" s="3" t="s">
        <v>113</v>
      </c>
      <c r="G54" s="3"/>
      <c r="H54" s="3"/>
      <c r="I54" s="3" t="s">
        <v>20</v>
      </c>
      <c r="J54" s="3" t="s">
        <v>21</v>
      </c>
      <c r="K54" s="3" t="s">
        <v>114</v>
      </c>
      <c r="L54" s="3" t="s">
        <v>115</v>
      </c>
      <c r="M54" s="3"/>
      <c r="N54" s="3"/>
    </row>
    <row r="55" spans="1:14" ht="23.85">
      <c r="A55" s="4" t="s">
        <v>31</v>
      </c>
      <c r="B55" s="4" t="s">
        <v>121</v>
      </c>
      <c r="C55" s="4" t="s">
        <v>122</v>
      </c>
      <c r="D55" s="4" t="s">
        <v>17</v>
      </c>
      <c r="E55" s="4" t="s">
        <v>123</v>
      </c>
      <c r="F55" s="4" t="s">
        <v>124</v>
      </c>
      <c r="G55" s="4"/>
      <c r="H55" s="4"/>
      <c r="I55" s="4" t="s">
        <v>20</v>
      </c>
      <c r="J55" s="4" t="s">
        <v>21</v>
      </c>
      <c r="K55" s="4" t="s">
        <v>125</v>
      </c>
      <c r="L55" s="4"/>
      <c r="M55" s="4"/>
      <c r="N55" s="4"/>
    </row>
    <row r="56" spans="1:14" ht="23.85">
      <c r="A56" s="3" t="s">
        <v>31</v>
      </c>
      <c r="B56" s="3" t="s">
        <v>121</v>
      </c>
      <c r="C56" s="3" t="s">
        <v>122</v>
      </c>
      <c r="D56" s="3" t="s">
        <v>24</v>
      </c>
      <c r="E56" s="3" t="s">
        <v>126</v>
      </c>
      <c r="F56" s="3" t="s">
        <v>124</v>
      </c>
      <c r="G56" s="3"/>
      <c r="H56" s="3"/>
      <c r="I56" s="3" t="s">
        <v>20</v>
      </c>
      <c r="J56" s="3" t="s">
        <v>21</v>
      </c>
      <c r="K56" s="3" t="s">
        <v>125</v>
      </c>
      <c r="L56" s="3"/>
      <c r="M56" s="3"/>
      <c r="N56" s="3"/>
    </row>
    <row r="57" spans="1:14" ht="23.85">
      <c r="A57" s="4" t="s">
        <v>31</v>
      </c>
      <c r="B57" s="4" t="s">
        <v>121</v>
      </c>
      <c r="C57" s="4" t="s">
        <v>122</v>
      </c>
      <c r="D57" s="4" t="s">
        <v>26</v>
      </c>
      <c r="E57" s="4" t="s">
        <v>127</v>
      </c>
      <c r="F57" s="4" t="s">
        <v>124</v>
      </c>
      <c r="G57" s="4"/>
      <c r="H57" s="4"/>
      <c r="I57" s="4" t="s">
        <v>20</v>
      </c>
      <c r="J57" s="4" t="s">
        <v>21</v>
      </c>
      <c r="K57" s="4" t="s">
        <v>125</v>
      </c>
      <c r="L57" s="4"/>
      <c r="M57" s="4"/>
      <c r="N57" s="4"/>
    </row>
    <row r="58" spans="1:14" ht="23.85">
      <c r="A58" s="3" t="s">
        <v>31</v>
      </c>
      <c r="B58" s="3" t="s">
        <v>121</v>
      </c>
      <c r="C58" s="3" t="s">
        <v>122</v>
      </c>
      <c r="D58" s="3" t="s">
        <v>14</v>
      </c>
      <c r="E58" s="3" t="s">
        <v>128</v>
      </c>
      <c r="F58" s="3" t="s">
        <v>124</v>
      </c>
      <c r="G58" s="3"/>
      <c r="H58" s="3"/>
      <c r="I58" s="3" t="s">
        <v>20</v>
      </c>
      <c r="J58" s="3" t="s">
        <v>21</v>
      </c>
      <c r="K58" s="3" t="s">
        <v>125</v>
      </c>
      <c r="L58" s="3"/>
      <c r="M58" s="3"/>
      <c r="N58" s="3"/>
    </row>
    <row r="59" spans="1:14" ht="23.85">
      <c r="A59" s="4" t="s">
        <v>31</v>
      </c>
      <c r="B59" s="4" t="s">
        <v>121</v>
      </c>
      <c r="C59" s="4" t="s">
        <v>122</v>
      </c>
      <c r="D59" s="4" t="s">
        <v>29</v>
      </c>
      <c r="E59" s="4" t="s">
        <v>129</v>
      </c>
      <c r="F59" s="4" t="s">
        <v>124</v>
      </c>
      <c r="G59" s="4"/>
      <c r="H59" s="4"/>
      <c r="I59" s="4" t="s">
        <v>20</v>
      </c>
      <c r="J59" s="4" t="s">
        <v>21</v>
      </c>
      <c r="K59" s="4" t="s">
        <v>125</v>
      </c>
      <c r="L59" s="4"/>
      <c r="M59" s="4"/>
      <c r="N59" s="4"/>
    </row>
    <row r="60" spans="1:14" ht="23.85">
      <c r="A60" s="3" t="s">
        <v>31</v>
      </c>
      <c r="B60" s="3" t="s">
        <v>130</v>
      </c>
      <c r="C60" s="3" t="s">
        <v>131</v>
      </c>
      <c r="D60" s="3" t="s">
        <v>17</v>
      </c>
      <c r="E60" s="3" t="s">
        <v>132</v>
      </c>
      <c r="F60" s="3" t="s">
        <v>133</v>
      </c>
      <c r="G60" s="3"/>
      <c r="H60" s="3"/>
      <c r="I60" s="3" t="s">
        <v>20</v>
      </c>
      <c r="J60" s="3" t="s">
        <v>21</v>
      </c>
      <c r="K60" s="3" t="s">
        <v>134</v>
      </c>
      <c r="L60" s="3"/>
      <c r="M60" s="3"/>
      <c r="N60" s="3"/>
    </row>
    <row r="61" spans="1:14" ht="23.85">
      <c r="A61" s="4" t="s">
        <v>31</v>
      </c>
      <c r="B61" s="4" t="s">
        <v>130</v>
      </c>
      <c r="C61" s="4" t="s">
        <v>131</v>
      </c>
      <c r="D61" s="4" t="s">
        <v>24</v>
      </c>
      <c r="E61" s="4" t="s">
        <v>135</v>
      </c>
      <c r="F61" s="4" t="s">
        <v>133</v>
      </c>
      <c r="G61" s="4"/>
      <c r="H61" s="4"/>
      <c r="I61" s="4" t="s">
        <v>20</v>
      </c>
      <c r="J61" s="4" t="s">
        <v>21</v>
      </c>
      <c r="K61" s="4" t="s">
        <v>134</v>
      </c>
      <c r="L61" s="4"/>
      <c r="M61" s="4"/>
      <c r="N61" s="4"/>
    </row>
    <row r="62" spans="1:14" ht="23.85">
      <c r="A62" s="3" t="s">
        <v>31</v>
      </c>
      <c r="B62" s="3" t="s">
        <v>130</v>
      </c>
      <c r="C62" s="3" t="s">
        <v>131</v>
      </c>
      <c r="D62" s="3" t="s">
        <v>26</v>
      </c>
      <c r="E62" s="3" t="s">
        <v>136</v>
      </c>
      <c r="F62" s="3" t="s">
        <v>133</v>
      </c>
      <c r="G62" s="3"/>
      <c r="H62" s="3"/>
      <c r="I62" s="3" t="s">
        <v>20</v>
      </c>
      <c r="J62" s="3" t="s">
        <v>21</v>
      </c>
      <c r="K62" s="3" t="s">
        <v>134</v>
      </c>
      <c r="L62" s="3"/>
      <c r="M62" s="3"/>
      <c r="N62" s="3"/>
    </row>
    <row r="63" spans="1:14" ht="23.85">
      <c r="A63" s="4" t="s">
        <v>31</v>
      </c>
      <c r="B63" s="4" t="s">
        <v>130</v>
      </c>
      <c r="C63" s="4" t="s">
        <v>131</v>
      </c>
      <c r="D63" s="4" t="s">
        <v>14</v>
      </c>
      <c r="E63" s="4" t="s">
        <v>137</v>
      </c>
      <c r="F63" s="4" t="s">
        <v>133</v>
      </c>
      <c r="G63" s="4"/>
      <c r="H63" s="4"/>
      <c r="I63" s="4" t="s">
        <v>20</v>
      </c>
      <c r="J63" s="4" t="s">
        <v>21</v>
      </c>
      <c r="K63" s="4" t="s">
        <v>134</v>
      </c>
      <c r="L63" s="4"/>
      <c r="M63" s="4"/>
      <c r="N63" s="4"/>
    </row>
    <row r="64" spans="1:14" ht="35.1">
      <c r="A64" s="3" t="s">
        <v>108</v>
      </c>
      <c r="B64" s="3" t="s">
        <v>138</v>
      </c>
      <c r="C64" s="3" t="s">
        <v>139</v>
      </c>
      <c r="D64" s="3" t="s">
        <v>17</v>
      </c>
      <c r="E64" s="3" t="s">
        <v>140</v>
      </c>
      <c r="F64" s="3" t="s">
        <v>141</v>
      </c>
      <c r="G64" s="3"/>
      <c r="H64" s="3"/>
      <c r="I64" s="3" t="s">
        <v>20</v>
      </c>
      <c r="J64" s="3" t="s">
        <v>21</v>
      </c>
      <c r="K64" s="3" t="s">
        <v>142</v>
      </c>
      <c r="L64" s="3"/>
      <c r="M64" s="3"/>
      <c r="N64" s="3"/>
    </row>
    <row r="65" spans="1:14" ht="35.1">
      <c r="A65" s="4" t="s">
        <v>108</v>
      </c>
      <c r="B65" s="4" t="s">
        <v>138</v>
      </c>
      <c r="C65" s="4" t="s">
        <v>139</v>
      </c>
      <c r="D65" s="4" t="s">
        <v>24</v>
      </c>
      <c r="E65" s="4" t="s">
        <v>143</v>
      </c>
      <c r="F65" s="4" t="s">
        <v>141</v>
      </c>
      <c r="G65" s="4"/>
      <c r="H65" s="4"/>
      <c r="I65" s="4" t="s">
        <v>20</v>
      </c>
      <c r="J65" s="4" t="s">
        <v>21</v>
      </c>
      <c r="K65" s="4" t="s">
        <v>142</v>
      </c>
      <c r="L65" s="4"/>
      <c r="M65" s="4"/>
      <c r="N65" s="4"/>
    </row>
    <row r="66" spans="1:14" ht="35.1">
      <c r="A66" s="3" t="s">
        <v>108</v>
      </c>
      <c r="B66" s="3" t="s">
        <v>138</v>
      </c>
      <c r="C66" s="3" t="s">
        <v>139</v>
      </c>
      <c r="D66" s="3" t="s">
        <v>26</v>
      </c>
      <c r="E66" s="3" t="s">
        <v>144</v>
      </c>
      <c r="F66" s="3" t="s">
        <v>141</v>
      </c>
      <c r="G66" s="3"/>
      <c r="H66" s="3"/>
      <c r="I66" s="3" t="s">
        <v>20</v>
      </c>
      <c r="J66" s="3" t="s">
        <v>21</v>
      </c>
      <c r="K66" s="3" t="s">
        <v>142</v>
      </c>
      <c r="L66" s="3"/>
      <c r="M66" s="3"/>
      <c r="N66" s="3"/>
    </row>
    <row r="67" spans="1:14" ht="35.1">
      <c r="A67" s="4" t="s">
        <v>108</v>
      </c>
      <c r="B67" s="4" t="s">
        <v>138</v>
      </c>
      <c r="C67" s="4" t="s">
        <v>139</v>
      </c>
      <c r="D67" s="4" t="s">
        <v>14</v>
      </c>
      <c r="E67" s="4" t="s">
        <v>145</v>
      </c>
      <c r="F67" s="4" t="s">
        <v>141</v>
      </c>
      <c r="G67" s="4"/>
      <c r="H67" s="4"/>
      <c r="I67" s="4" t="s">
        <v>20</v>
      </c>
      <c r="J67" s="4" t="s">
        <v>21</v>
      </c>
      <c r="K67" s="4" t="s">
        <v>142</v>
      </c>
      <c r="L67" s="4"/>
      <c r="M67" s="4"/>
      <c r="N67" s="4"/>
    </row>
    <row r="68" spans="1:14" ht="35.1">
      <c r="A68" s="3" t="s">
        <v>108</v>
      </c>
      <c r="B68" s="3" t="s">
        <v>146</v>
      </c>
      <c r="C68" s="3" t="s">
        <v>147</v>
      </c>
      <c r="D68" s="3" t="s">
        <v>17</v>
      </c>
      <c r="E68" s="3" t="s">
        <v>148</v>
      </c>
      <c r="F68" s="3" t="s">
        <v>149</v>
      </c>
      <c r="G68" s="3"/>
      <c r="H68" s="3"/>
      <c r="I68" s="3" t="s">
        <v>20</v>
      </c>
      <c r="J68" s="3" t="s">
        <v>21</v>
      </c>
      <c r="K68" s="3" t="s">
        <v>150</v>
      </c>
      <c r="L68" s="3" t="s">
        <v>151</v>
      </c>
      <c r="M68" s="3"/>
      <c r="N68" s="3"/>
    </row>
    <row r="69" spans="1:14" ht="35.1">
      <c r="A69" s="4" t="s">
        <v>108</v>
      </c>
      <c r="B69" s="4" t="s">
        <v>146</v>
      </c>
      <c r="C69" s="4" t="s">
        <v>147</v>
      </c>
      <c r="D69" s="4" t="s">
        <v>24</v>
      </c>
      <c r="E69" s="4" t="s">
        <v>152</v>
      </c>
      <c r="F69" s="4" t="s">
        <v>149</v>
      </c>
      <c r="G69" s="4"/>
      <c r="H69" s="4"/>
      <c r="I69" s="4" t="s">
        <v>20</v>
      </c>
      <c r="J69" s="4" t="s">
        <v>21</v>
      </c>
      <c r="K69" s="4" t="s">
        <v>150</v>
      </c>
      <c r="L69" s="4" t="s">
        <v>151</v>
      </c>
      <c r="M69" s="4"/>
      <c r="N69" s="4"/>
    </row>
    <row r="70" spans="1:14" ht="35.1">
      <c r="A70" s="3" t="s">
        <v>108</v>
      </c>
      <c r="B70" s="3" t="s">
        <v>146</v>
      </c>
      <c r="C70" s="3" t="s">
        <v>147</v>
      </c>
      <c r="D70" s="3" t="s">
        <v>26</v>
      </c>
      <c r="E70" s="3" t="s">
        <v>153</v>
      </c>
      <c r="F70" s="3" t="s">
        <v>149</v>
      </c>
      <c r="G70" s="3"/>
      <c r="H70" s="3"/>
      <c r="I70" s="3" t="s">
        <v>20</v>
      </c>
      <c r="J70" s="3" t="s">
        <v>21</v>
      </c>
      <c r="K70" s="3" t="s">
        <v>150</v>
      </c>
      <c r="L70" s="3" t="s">
        <v>151</v>
      </c>
      <c r="M70" s="3"/>
      <c r="N70" s="3"/>
    </row>
    <row r="71" spans="1:14" ht="35.1">
      <c r="A71" s="4" t="s">
        <v>108</v>
      </c>
      <c r="B71" s="4" t="s">
        <v>146</v>
      </c>
      <c r="C71" s="4" t="s">
        <v>147</v>
      </c>
      <c r="D71" s="4" t="s">
        <v>14</v>
      </c>
      <c r="E71" s="4" t="s">
        <v>154</v>
      </c>
      <c r="F71" s="4" t="s">
        <v>149</v>
      </c>
      <c r="G71" s="4"/>
      <c r="H71" s="4"/>
      <c r="I71" s="4" t="s">
        <v>20</v>
      </c>
      <c r="J71" s="4" t="s">
        <v>21</v>
      </c>
      <c r="K71" s="4" t="s">
        <v>150</v>
      </c>
      <c r="L71" s="4" t="s">
        <v>151</v>
      </c>
      <c r="M71" s="4"/>
      <c r="N71" s="4"/>
    </row>
    <row r="72" spans="1:14" ht="35.1">
      <c r="A72" s="3" t="s">
        <v>108</v>
      </c>
      <c r="B72" s="3" t="s">
        <v>146</v>
      </c>
      <c r="C72" s="3" t="s">
        <v>147</v>
      </c>
      <c r="D72" s="3" t="s">
        <v>29</v>
      </c>
      <c r="E72" s="3" t="s">
        <v>155</v>
      </c>
      <c r="F72" s="3" t="s">
        <v>149</v>
      </c>
      <c r="G72" s="3"/>
      <c r="H72" s="3"/>
      <c r="I72" s="3" t="s">
        <v>20</v>
      </c>
      <c r="J72" s="3" t="s">
        <v>21</v>
      </c>
      <c r="K72" s="3" t="s">
        <v>150</v>
      </c>
      <c r="L72" s="3" t="s">
        <v>151</v>
      </c>
      <c r="M72" s="3"/>
      <c r="N72" s="3"/>
    </row>
    <row r="73" spans="1:14" ht="35.1">
      <c r="A73" s="4" t="s">
        <v>108</v>
      </c>
      <c r="B73" s="4" t="s">
        <v>156</v>
      </c>
      <c r="C73" s="4" t="s">
        <v>157</v>
      </c>
      <c r="D73" s="4" t="s">
        <v>17</v>
      </c>
      <c r="E73" s="4" t="s">
        <v>158</v>
      </c>
      <c r="F73" s="4" t="s">
        <v>159</v>
      </c>
      <c r="G73" s="4"/>
      <c r="H73" s="4"/>
      <c r="I73" s="4" t="s">
        <v>20</v>
      </c>
      <c r="J73" s="4" t="s">
        <v>21</v>
      </c>
      <c r="K73" s="4" t="s">
        <v>160</v>
      </c>
      <c r="L73" s="4"/>
      <c r="M73" s="4"/>
      <c r="N73" s="4"/>
    </row>
    <row r="74" spans="1:14" ht="35.1">
      <c r="A74" s="3" t="s">
        <v>108</v>
      </c>
      <c r="B74" s="3" t="s">
        <v>156</v>
      </c>
      <c r="C74" s="3" t="s">
        <v>157</v>
      </c>
      <c r="D74" s="3" t="s">
        <v>24</v>
      </c>
      <c r="E74" s="3" t="s">
        <v>161</v>
      </c>
      <c r="F74" s="3" t="s">
        <v>159</v>
      </c>
      <c r="G74" s="3"/>
      <c r="H74" s="3"/>
      <c r="I74" s="3" t="s">
        <v>20</v>
      </c>
      <c r="J74" s="3" t="s">
        <v>21</v>
      </c>
      <c r="K74" s="3" t="s">
        <v>160</v>
      </c>
      <c r="L74" s="3"/>
      <c r="M74" s="3"/>
      <c r="N74" s="3"/>
    </row>
    <row r="75" spans="1:14" ht="35.1">
      <c r="A75" s="4" t="s">
        <v>108</v>
      </c>
      <c r="B75" s="4" t="s">
        <v>156</v>
      </c>
      <c r="C75" s="4" t="s">
        <v>157</v>
      </c>
      <c r="D75" s="4" t="s">
        <v>26</v>
      </c>
      <c r="E75" s="4" t="s">
        <v>162</v>
      </c>
      <c r="F75" s="4" t="s">
        <v>159</v>
      </c>
      <c r="G75" s="4"/>
      <c r="H75" s="4"/>
      <c r="I75" s="4" t="s">
        <v>20</v>
      </c>
      <c r="J75" s="4" t="s">
        <v>21</v>
      </c>
      <c r="K75" s="4" t="s">
        <v>160</v>
      </c>
      <c r="L75" s="4"/>
      <c r="M75" s="4"/>
      <c r="N75" s="4"/>
    </row>
    <row r="76" spans="1:14" ht="35.1">
      <c r="A76" s="3" t="s">
        <v>108</v>
      </c>
      <c r="B76" s="3" t="s">
        <v>156</v>
      </c>
      <c r="C76" s="3" t="s">
        <v>157</v>
      </c>
      <c r="D76" s="3" t="s">
        <v>14</v>
      </c>
      <c r="E76" s="3" t="s">
        <v>163</v>
      </c>
      <c r="F76" s="3" t="s">
        <v>159</v>
      </c>
      <c r="G76" s="3"/>
      <c r="H76" s="3"/>
      <c r="I76" s="3" t="s">
        <v>20</v>
      </c>
      <c r="J76" s="3" t="s">
        <v>21</v>
      </c>
      <c r="K76" s="3" t="s">
        <v>160</v>
      </c>
      <c r="L76" s="3"/>
      <c r="M76" s="3"/>
      <c r="N76" s="3"/>
    </row>
    <row r="77" spans="1:14" ht="35.1">
      <c r="A77" s="4" t="s">
        <v>108</v>
      </c>
      <c r="B77" s="4" t="s">
        <v>156</v>
      </c>
      <c r="C77" s="4" t="s">
        <v>157</v>
      </c>
      <c r="D77" s="4" t="s">
        <v>29</v>
      </c>
      <c r="E77" s="4" t="s">
        <v>164</v>
      </c>
      <c r="F77" s="4" t="s">
        <v>159</v>
      </c>
      <c r="G77" s="4"/>
      <c r="H77" s="4"/>
      <c r="I77" s="4" t="s">
        <v>20</v>
      </c>
      <c r="J77" s="4" t="s">
        <v>21</v>
      </c>
      <c r="K77" s="4" t="s">
        <v>160</v>
      </c>
      <c r="L77" s="4"/>
      <c r="M77" s="4"/>
      <c r="N77" s="4"/>
    </row>
    <row r="78" spans="1:14" ht="35.1">
      <c r="A78" s="3" t="s">
        <v>108</v>
      </c>
      <c r="B78" s="3" t="s">
        <v>165</v>
      </c>
      <c r="C78" s="3" t="s">
        <v>166</v>
      </c>
      <c r="D78" s="3" t="s">
        <v>17</v>
      </c>
      <c r="E78" s="3" t="s">
        <v>167</v>
      </c>
      <c r="F78" s="3" t="s">
        <v>168</v>
      </c>
      <c r="G78" s="3"/>
      <c r="H78" s="3"/>
      <c r="I78" s="3" t="s">
        <v>20</v>
      </c>
      <c r="J78" s="3" t="s">
        <v>21</v>
      </c>
      <c r="K78" s="3" t="s">
        <v>169</v>
      </c>
      <c r="L78" s="3" t="s">
        <v>170</v>
      </c>
      <c r="M78" s="3"/>
      <c r="N78" s="3"/>
    </row>
    <row r="79" spans="1:14" ht="35.1">
      <c r="A79" s="4" t="s">
        <v>108</v>
      </c>
      <c r="B79" s="4" t="s">
        <v>165</v>
      </c>
      <c r="C79" s="4" t="s">
        <v>166</v>
      </c>
      <c r="D79" s="4" t="s">
        <v>24</v>
      </c>
      <c r="E79" s="4" t="s">
        <v>171</v>
      </c>
      <c r="F79" s="4" t="s">
        <v>168</v>
      </c>
      <c r="G79" s="4"/>
      <c r="H79" s="4"/>
      <c r="I79" s="4" t="s">
        <v>20</v>
      </c>
      <c r="J79" s="4" t="s">
        <v>21</v>
      </c>
      <c r="K79" s="4" t="s">
        <v>169</v>
      </c>
      <c r="L79" s="4" t="s">
        <v>170</v>
      </c>
      <c r="M79" s="4"/>
      <c r="N79" s="4"/>
    </row>
    <row r="80" spans="1:14" ht="35.1">
      <c r="A80" s="3" t="s">
        <v>108</v>
      </c>
      <c r="B80" s="3" t="s">
        <v>165</v>
      </c>
      <c r="C80" s="3" t="s">
        <v>166</v>
      </c>
      <c r="D80" s="3" t="s">
        <v>26</v>
      </c>
      <c r="E80" s="3" t="s">
        <v>172</v>
      </c>
      <c r="F80" s="3" t="s">
        <v>168</v>
      </c>
      <c r="G80" s="3"/>
      <c r="H80" s="3"/>
      <c r="I80" s="3" t="s">
        <v>20</v>
      </c>
      <c r="J80" s="3" t="s">
        <v>21</v>
      </c>
      <c r="K80" s="3" t="s">
        <v>169</v>
      </c>
      <c r="L80" s="3" t="s">
        <v>170</v>
      </c>
      <c r="M80" s="3"/>
      <c r="N80" s="3"/>
    </row>
    <row r="81" spans="1:14" ht="35.1">
      <c r="A81" s="4" t="s">
        <v>108</v>
      </c>
      <c r="B81" s="4" t="s">
        <v>165</v>
      </c>
      <c r="C81" s="4" t="s">
        <v>166</v>
      </c>
      <c r="D81" s="4" t="s">
        <v>14</v>
      </c>
      <c r="E81" s="4" t="s">
        <v>173</v>
      </c>
      <c r="F81" s="4" t="s">
        <v>168</v>
      </c>
      <c r="G81" s="4"/>
      <c r="H81" s="4"/>
      <c r="I81" s="4" t="s">
        <v>20</v>
      </c>
      <c r="J81" s="4" t="s">
        <v>21</v>
      </c>
      <c r="K81" s="4" t="s">
        <v>169</v>
      </c>
      <c r="L81" s="4" t="s">
        <v>170</v>
      </c>
      <c r="M81" s="4"/>
      <c r="N81" s="4"/>
    </row>
    <row r="82" spans="1:14" ht="35.1">
      <c r="A82" s="3" t="s">
        <v>108</v>
      </c>
      <c r="B82" s="3" t="s">
        <v>174</v>
      </c>
      <c r="C82" s="3" t="s">
        <v>175</v>
      </c>
      <c r="D82" s="3" t="s">
        <v>17</v>
      </c>
      <c r="E82" s="3" t="s">
        <v>176</v>
      </c>
      <c r="F82" s="3" t="s">
        <v>177</v>
      </c>
      <c r="G82" s="3"/>
      <c r="H82" s="3"/>
      <c r="I82" s="3" t="s">
        <v>20</v>
      </c>
      <c r="J82" s="3" t="s">
        <v>21</v>
      </c>
      <c r="K82" s="3" t="s">
        <v>178</v>
      </c>
      <c r="L82" s="3" t="s">
        <v>60</v>
      </c>
      <c r="M82" s="3"/>
      <c r="N82" s="3"/>
    </row>
    <row r="83" spans="1:14" ht="35.1">
      <c r="A83" s="4" t="s">
        <v>108</v>
      </c>
      <c r="B83" s="4" t="s">
        <v>174</v>
      </c>
      <c r="C83" s="4" t="s">
        <v>175</v>
      </c>
      <c r="D83" s="4" t="s">
        <v>24</v>
      </c>
      <c r="E83" s="4" t="s">
        <v>179</v>
      </c>
      <c r="F83" s="4" t="s">
        <v>177</v>
      </c>
      <c r="G83" s="4"/>
      <c r="H83" s="4"/>
      <c r="I83" s="4" t="s">
        <v>20</v>
      </c>
      <c r="J83" s="4" t="s">
        <v>21</v>
      </c>
      <c r="K83" s="4" t="s">
        <v>178</v>
      </c>
      <c r="L83" s="4" t="s">
        <v>60</v>
      </c>
      <c r="M83" s="4"/>
      <c r="N83" s="4"/>
    </row>
    <row r="84" spans="1:14" ht="35.1">
      <c r="A84" s="3" t="s">
        <v>108</v>
      </c>
      <c r="B84" s="3" t="s">
        <v>174</v>
      </c>
      <c r="C84" s="3" t="s">
        <v>175</v>
      </c>
      <c r="D84" s="3" t="s">
        <v>26</v>
      </c>
      <c r="E84" s="3" t="s">
        <v>180</v>
      </c>
      <c r="F84" s="3" t="s">
        <v>177</v>
      </c>
      <c r="G84" s="3"/>
      <c r="H84" s="3"/>
      <c r="I84" s="3" t="s">
        <v>20</v>
      </c>
      <c r="J84" s="3" t="s">
        <v>21</v>
      </c>
      <c r="K84" s="3" t="s">
        <v>178</v>
      </c>
      <c r="L84" s="3" t="s">
        <v>60</v>
      </c>
      <c r="M84" s="3"/>
      <c r="N84" s="3"/>
    </row>
    <row r="85" spans="1:14" ht="35.1">
      <c r="A85" s="4" t="s">
        <v>108</v>
      </c>
      <c r="B85" s="4" t="s">
        <v>174</v>
      </c>
      <c r="C85" s="4" t="s">
        <v>175</v>
      </c>
      <c r="D85" s="4" t="s">
        <v>14</v>
      </c>
      <c r="E85" s="4" t="s">
        <v>181</v>
      </c>
      <c r="F85" s="4" t="s">
        <v>177</v>
      </c>
      <c r="G85" s="4"/>
      <c r="H85" s="4"/>
      <c r="I85" s="4" t="s">
        <v>20</v>
      </c>
      <c r="J85" s="4" t="s">
        <v>21</v>
      </c>
      <c r="K85" s="4" t="s">
        <v>178</v>
      </c>
      <c r="L85" s="4" t="s">
        <v>60</v>
      </c>
      <c r="M85" s="4"/>
      <c r="N85" s="4"/>
    </row>
    <row r="86" spans="1:14" ht="35.1">
      <c r="A86" s="3" t="s">
        <v>108</v>
      </c>
      <c r="B86" s="3" t="s">
        <v>174</v>
      </c>
      <c r="C86" s="3" t="s">
        <v>175</v>
      </c>
      <c r="D86" s="3" t="s">
        <v>29</v>
      </c>
      <c r="E86" s="3" t="s">
        <v>182</v>
      </c>
      <c r="F86" s="3" t="s">
        <v>177</v>
      </c>
      <c r="G86" s="3"/>
      <c r="H86" s="3"/>
      <c r="I86" s="3" t="s">
        <v>20</v>
      </c>
      <c r="J86" s="3" t="s">
        <v>21</v>
      </c>
      <c r="K86" s="3" t="s">
        <v>178</v>
      </c>
      <c r="L86" s="3" t="s">
        <v>60</v>
      </c>
      <c r="M86" s="3"/>
      <c r="N86" s="3"/>
    </row>
    <row r="87" spans="1:14" ht="35.1">
      <c r="A87" s="4" t="s">
        <v>183</v>
      </c>
      <c r="B87" s="4" t="s">
        <v>184</v>
      </c>
      <c r="C87" s="4" t="s">
        <v>185</v>
      </c>
      <c r="D87" s="4" t="s">
        <v>17</v>
      </c>
      <c r="E87" s="4" t="s">
        <v>186</v>
      </c>
      <c r="F87" s="4" t="s">
        <v>187</v>
      </c>
      <c r="G87" s="4"/>
      <c r="H87" s="4"/>
      <c r="I87" s="4" t="s">
        <v>20</v>
      </c>
      <c r="J87" s="4" t="s">
        <v>21</v>
      </c>
      <c r="K87" s="4" t="s">
        <v>188</v>
      </c>
      <c r="L87" s="4" t="s">
        <v>189</v>
      </c>
      <c r="M87" s="4"/>
      <c r="N87" s="4"/>
    </row>
    <row r="88" spans="1:14" ht="35.1">
      <c r="A88" s="3" t="s">
        <v>183</v>
      </c>
      <c r="B88" s="3" t="s">
        <v>184</v>
      </c>
      <c r="C88" s="3" t="s">
        <v>185</v>
      </c>
      <c r="D88" s="3" t="s">
        <v>24</v>
      </c>
      <c r="E88" s="3" t="s">
        <v>190</v>
      </c>
      <c r="F88" s="3" t="s">
        <v>187</v>
      </c>
      <c r="G88" s="3"/>
      <c r="H88" s="3"/>
      <c r="I88" s="3" t="s">
        <v>20</v>
      </c>
      <c r="J88" s="3" t="s">
        <v>21</v>
      </c>
      <c r="K88" s="3" t="s">
        <v>188</v>
      </c>
      <c r="L88" s="3" t="s">
        <v>189</v>
      </c>
      <c r="M88" s="3"/>
      <c r="N88" s="3"/>
    </row>
    <row r="89" spans="1:14" ht="35.1">
      <c r="A89" s="4" t="s">
        <v>183</v>
      </c>
      <c r="B89" s="4" t="s">
        <v>184</v>
      </c>
      <c r="C89" s="4" t="s">
        <v>185</v>
      </c>
      <c r="D89" s="4" t="s">
        <v>26</v>
      </c>
      <c r="E89" s="4" t="s">
        <v>191</v>
      </c>
      <c r="F89" s="4" t="s">
        <v>187</v>
      </c>
      <c r="G89" s="4"/>
      <c r="H89" s="4"/>
      <c r="I89" s="4" t="s">
        <v>20</v>
      </c>
      <c r="J89" s="4" t="s">
        <v>21</v>
      </c>
      <c r="K89" s="4" t="s">
        <v>188</v>
      </c>
      <c r="L89" s="4" t="s">
        <v>189</v>
      </c>
      <c r="M89" s="4"/>
      <c r="N89" s="4"/>
    </row>
    <row r="90" spans="1:14" ht="35.1">
      <c r="A90" s="3" t="s">
        <v>183</v>
      </c>
      <c r="B90" s="3" t="s">
        <v>184</v>
      </c>
      <c r="C90" s="3" t="s">
        <v>185</v>
      </c>
      <c r="D90" s="3" t="s">
        <v>14</v>
      </c>
      <c r="E90" s="3" t="s">
        <v>192</v>
      </c>
      <c r="F90" s="3" t="s">
        <v>187</v>
      </c>
      <c r="G90" s="3"/>
      <c r="H90" s="3"/>
      <c r="I90" s="3" t="s">
        <v>20</v>
      </c>
      <c r="J90" s="3" t="s">
        <v>21</v>
      </c>
      <c r="K90" s="3" t="s">
        <v>188</v>
      </c>
      <c r="L90" s="3" t="s">
        <v>189</v>
      </c>
      <c r="M90" s="3"/>
      <c r="N90" s="3"/>
    </row>
    <row r="91" spans="1:14" ht="35.1">
      <c r="A91" s="4" t="s">
        <v>183</v>
      </c>
      <c r="B91" s="4" t="s">
        <v>184</v>
      </c>
      <c r="C91" s="4" t="s">
        <v>185</v>
      </c>
      <c r="D91" s="4" t="s">
        <v>29</v>
      </c>
      <c r="E91" s="4" t="s">
        <v>193</v>
      </c>
      <c r="F91" s="4" t="s">
        <v>187</v>
      </c>
      <c r="G91" s="4"/>
      <c r="H91" s="4"/>
      <c r="I91" s="4" t="s">
        <v>20</v>
      </c>
      <c r="J91" s="4" t="s">
        <v>21</v>
      </c>
      <c r="K91" s="4" t="s">
        <v>188</v>
      </c>
      <c r="L91" s="4" t="s">
        <v>189</v>
      </c>
      <c r="M91" s="4"/>
      <c r="N91" s="4"/>
    </row>
    <row r="92" spans="1:14" ht="35.1">
      <c r="A92" s="3" t="s">
        <v>183</v>
      </c>
      <c r="B92" s="3" t="s">
        <v>184</v>
      </c>
      <c r="C92" s="3" t="s">
        <v>185</v>
      </c>
      <c r="D92" s="3" t="s">
        <v>31</v>
      </c>
      <c r="E92" s="3" t="s">
        <v>194</v>
      </c>
      <c r="F92" s="3" t="s">
        <v>187</v>
      </c>
      <c r="G92" s="3"/>
      <c r="H92" s="3"/>
      <c r="I92" s="3" t="s">
        <v>20</v>
      </c>
      <c r="J92" s="3" t="s">
        <v>21</v>
      </c>
      <c r="K92" s="3" t="s">
        <v>188</v>
      </c>
      <c r="L92" s="3" t="s">
        <v>189</v>
      </c>
      <c r="M92" s="3"/>
      <c r="N92" s="3"/>
    </row>
    <row r="93" spans="1:14" ht="35.1">
      <c r="A93" s="4" t="s">
        <v>183</v>
      </c>
      <c r="B93" s="4" t="s">
        <v>195</v>
      </c>
      <c r="C93" s="4" t="s">
        <v>196</v>
      </c>
      <c r="D93" s="4" t="s">
        <v>17</v>
      </c>
      <c r="E93" s="4" t="s">
        <v>197</v>
      </c>
      <c r="F93" s="4" t="s">
        <v>198</v>
      </c>
      <c r="G93" s="4"/>
      <c r="H93" s="4"/>
      <c r="I93" s="4" t="s">
        <v>20</v>
      </c>
      <c r="J93" s="4" t="s">
        <v>21</v>
      </c>
      <c r="K93" s="4" t="s">
        <v>199</v>
      </c>
      <c r="L93" s="4" t="s">
        <v>200</v>
      </c>
      <c r="M93" s="4"/>
      <c r="N93" s="4"/>
    </row>
    <row r="94" spans="1:14" ht="35.1">
      <c r="A94" s="3" t="s">
        <v>183</v>
      </c>
      <c r="B94" s="3" t="s">
        <v>195</v>
      </c>
      <c r="C94" s="3" t="s">
        <v>196</v>
      </c>
      <c r="D94" s="3" t="s">
        <v>24</v>
      </c>
      <c r="E94" s="3" t="s">
        <v>201</v>
      </c>
      <c r="F94" s="3" t="s">
        <v>198</v>
      </c>
      <c r="G94" s="3"/>
      <c r="H94" s="3"/>
      <c r="I94" s="3" t="s">
        <v>20</v>
      </c>
      <c r="J94" s="3" t="s">
        <v>21</v>
      </c>
      <c r="K94" s="3" t="s">
        <v>199</v>
      </c>
      <c r="L94" s="3" t="s">
        <v>200</v>
      </c>
      <c r="M94" s="3"/>
      <c r="N94" s="3"/>
    </row>
    <row r="95" spans="1:14" ht="35.1">
      <c r="A95" s="4" t="s">
        <v>183</v>
      </c>
      <c r="B95" s="4" t="s">
        <v>195</v>
      </c>
      <c r="C95" s="4" t="s">
        <v>196</v>
      </c>
      <c r="D95" s="4" t="s">
        <v>26</v>
      </c>
      <c r="E95" s="4" t="s">
        <v>202</v>
      </c>
      <c r="F95" s="4" t="s">
        <v>198</v>
      </c>
      <c r="G95" s="4"/>
      <c r="H95" s="4"/>
      <c r="I95" s="4" t="s">
        <v>20</v>
      </c>
      <c r="J95" s="4" t="s">
        <v>21</v>
      </c>
      <c r="K95" s="4" t="s">
        <v>199</v>
      </c>
      <c r="L95" s="4" t="s">
        <v>200</v>
      </c>
      <c r="M95" s="4"/>
      <c r="N95" s="4"/>
    </row>
    <row r="96" spans="1:14" ht="35.1">
      <c r="A96" s="3" t="s">
        <v>183</v>
      </c>
      <c r="B96" s="3" t="s">
        <v>195</v>
      </c>
      <c r="C96" s="3" t="s">
        <v>196</v>
      </c>
      <c r="D96" s="3" t="s">
        <v>14</v>
      </c>
      <c r="E96" s="3" t="s">
        <v>203</v>
      </c>
      <c r="F96" s="3" t="s">
        <v>198</v>
      </c>
      <c r="G96" s="3"/>
      <c r="H96" s="3"/>
      <c r="I96" s="3" t="s">
        <v>20</v>
      </c>
      <c r="J96" s="3" t="s">
        <v>21</v>
      </c>
      <c r="K96" s="3" t="s">
        <v>199</v>
      </c>
      <c r="L96" s="3" t="s">
        <v>200</v>
      </c>
      <c r="M96" s="3"/>
      <c r="N96" s="3"/>
    </row>
    <row r="97" spans="1:14" ht="35.1">
      <c r="A97" s="4" t="s">
        <v>183</v>
      </c>
      <c r="B97" s="4" t="s">
        <v>195</v>
      </c>
      <c r="C97" s="4" t="s">
        <v>196</v>
      </c>
      <c r="D97" s="4" t="s">
        <v>29</v>
      </c>
      <c r="E97" s="4" t="s">
        <v>204</v>
      </c>
      <c r="F97" s="4" t="s">
        <v>198</v>
      </c>
      <c r="G97" s="4"/>
      <c r="H97" s="4"/>
      <c r="I97" s="4" t="s">
        <v>20</v>
      </c>
      <c r="J97" s="4" t="s">
        <v>21</v>
      </c>
      <c r="K97" s="4" t="s">
        <v>199</v>
      </c>
      <c r="L97" s="4" t="s">
        <v>200</v>
      </c>
      <c r="M97" s="4"/>
      <c r="N97" s="4"/>
    </row>
    <row r="98" spans="1:14" ht="35.1">
      <c r="A98" s="3" t="s">
        <v>183</v>
      </c>
      <c r="B98" s="3" t="s">
        <v>205</v>
      </c>
      <c r="C98" s="3" t="s">
        <v>206</v>
      </c>
      <c r="D98" s="3" t="s">
        <v>17</v>
      </c>
      <c r="E98" s="3" t="s">
        <v>207</v>
      </c>
      <c r="F98" s="3" t="s">
        <v>208</v>
      </c>
      <c r="G98" s="3"/>
      <c r="H98" s="3"/>
      <c r="I98" s="3" t="s">
        <v>20</v>
      </c>
      <c r="J98" s="3" t="s">
        <v>21</v>
      </c>
      <c r="K98" s="3" t="s">
        <v>209</v>
      </c>
      <c r="L98" s="3" t="s">
        <v>210</v>
      </c>
      <c r="M98" s="3"/>
      <c r="N98" s="3"/>
    </row>
    <row r="99" spans="1:14" ht="35.1">
      <c r="A99" s="4" t="s">
        <v>183</v>
      </c>
      <c r="B99" s="4" t="s">
        <v>205</v>
      </c>
      <c r="C99" s="4" t="s">
        <v>206</v>
      </c>
      <c r="D99" s="4" t="s">
        <v>24</v>
      </c>
      <c r="E99" s="4" t="s">
        <v>211</v>
      </c>
      <c r="F99" s="4" t="s">
        <v>208</v>
      </c>
      <c r="G99" s="4"/>
      <c r="H99" s="4"/>
      <c r="I99" s="4" t="s">
        <v>20</v>
      </c>
      <c r="J99" s="4" t="s">
        <v>21</v>
      </c>
      <c r="K99" s="4" t="s">
        <v>209</v>
      </c>
      <c r="L99" s="4" t="s">
        <v>210</v>
      </c>
      <c r="M99" s="4"/>
      <c r="N99" s="4"/>
    </row>
    <row r="100" spans="1:14" ht="35.1">
      <c r="A100" s="3" t="s">
        <v>183</v>
      </c>
      <c r="B100" s="3" t="s">
        <v>205</v>
      </c>
      <c r="C100" s="3" t="s">
        <v>206</v>
      </c>
      <c r="D100" s="3" t="s">
        <v>26</v>
      </c>
      <c r="E100" s="3" t="s">
        <v>212</v>
      </c>
      <c r="F100" s="3" t="s">
        <v>208</v>
      </c>
      <c r="G100" s="3"/>
      <c r="H100" s="3"/>
      <c r="I100" s="3" t="s">
        <v>20</v>
      </c>
      <c r="J100" s="3" t="s">
        <v>21</v>
      </c>
      <c r="K100" s="3" t="s">
        <v>209</v>
      </c>
      <c r="L100" s="3" t="s">
        <v>210</v>
      </c>
      <c r="M100" s="3"/>
      <c r="N100" s="3"/>
    </row>
    <row r="101" spans="1:14" ht="35.1">
      <c r="A101" s="4" t="s">
        <v>183</v>
      </c>
      <c r="B101" s="4" t="s">
        <v>205</v>
      </c>
      <c r="C101" s="4" t="s">
        <v>206</v>
      </c>
      <c r="D101" s="4" t="s">
        <v>14</v>
      </c>
      <c r="E101" s="4" t="s">
        <v>213</v>
      </c>
      <c r="F101" s="4" t="s">
        <v>208</v>
      </c>
      <c r="G101" s="4"/>
      <c r="H101" s="4"/>
      <c r="I101" s="4" t="s">
        <v>20</v>
      </c>
      <c r="J101" s="4" t="s">
        <v>21</v>
      </c>
      <c r="K101" s="4" t="s">
        <v>209</v>
      </c>
      <c r="L101" s="4" t="s">
        <v>210</v>
      </c>
      <c r="M101" s="4"/>
      <c r="N101" s="4"/>
    </row>
    <row r="102" spans="1:14" ht="35.1">
      <c r="A102" s="3" t="s">
        <v>183</v>
      </c>
      <c r="B102" s="3" t="s">
        <v>205</v>
      </c>
      <c r="C102" s="3" t="s">
        <v>206</v>
      </c>
      <c r="D102" s="3" t="s">
        <v>29</v>
      </c>
      <c r="E102" s="3" t="s">
        <v>214</v>
      </c>
      <c r="F102" s="3" t="s">
        <v>208</v>
      </c>
      <c r="G102" s="3"/>
      <c r="H102" s="3"/>
      <c r="I102" s="3" t="s">
        <v>20</v>
      </c>
      <c r="J102" s="3" t="s">
        <v>21</v>
      </c>
      <c r="K102" s="3" t="s">
        <v>209</v>
      </c>
      <c r="L102" s="3" t="s">
        <v>210</v>
      </c>
      <c r="M102" s="3"/>
      <c r="N102" s="3"/>
    </row>
    <row r="103" spans="1:14" ht="35.1">
      <c r="A103" s="4" t="s">
        <v>183</v>
      </c>
      <c r="B103" s="4" t="s">
        <v>215</v>
      </c>
      <c r="C103" s="4" t="s">
        <v>216</v>
      </c>
      <c r="D103" s="4" t="s">
        <v>17</v>
      </c>
      <c r="E103" s="4" t="s">
        <v>217</v>
      </c>
      <c r="F103" s="4" t="s">
        <v>218</v>
      </c>
      <c r="G103" s="4"/>
      <c r="H103" s="4"/>
      <c r="I103" s="4" t="s">
        <v>20</v>
      </c>
      <c r="J103" s="4" t="s">
        <v>21</v>
      </c>
      <c r="K103" s="4" t="s">
        <v>219</v>
      </c>
      <c r="L103" s="4" t="s">
        <v>220</v>
      </c>
      <c r="M103" s="4"/>
      <c r="N103" s="4"/>
    </row>
    <row r="104" spans="1:14" ht="35.1">
      <c r="A104" s="3" t="s">
        <v>183</v>
      </c>
      <c r="B104" s="3" t="s">
        <v>215</v>
      </c>
      <c r="C104" s="3" t="s">
        <v>216</v>
      </c>
      <c r="D104" s="3" t="s">
        <v>24</v>
      </c>
      <c r="E104" s="3" t="s">
        <v>221</v>
      </c>
      <c r="F104" s="3" t="s">
        <v>218</v>
      </c>
      <c r="G104" s="3"/>
      <c r="H104" s="3"/>
      <c r="I104" s="3" t="s">
        <v>20</v>
      </c>
      <c r="J104" s="3" t="s">
        <v>21</v>
      </c>
      <c r="K104" s="3" t="s">
        <v>219</v>
      </c>
      <c r="L104" s="3" t="s">
        <v>220</v>
      </c>
      <c r="M104" s="3"/>
      <c r="N104" s="3"/>
    </row>
    <row r="105" spans="1:14" ht="35.1">
      <c r="A105" s="4" t="s">
        <v>183</v>
      </c>
      <c r="B105" s="4" t="s">
        <v>215</v>
      </c>
      <c r="C105" s="4" t="s">
        <v>216</v>
      </c>
      <c r="D105" s="4" t="s">
        <v>26</v>
      </c>
      <c r="E105" s="4" t="s">
        <v>222</v>
      </c>
      <c r="F105" s="4" t="s">
        <v>218</v>
      </c>
      <c r="G105" s="4"/>
      <c r="H105" s="4"/>
      <c r="I105" s="4" t="s">
        <v>20</v>
      </c>
      <c r="J105" s="4" t="s">
        <v>21</v>
      </c>
      <c r="K105" s="4" t="s">
        <v>219</v>
      </c>
      <c r="L105" s="4" t="s">
        <v>220</v>
      </c>
      <c r="M105" s="4"/>
      <c r="N105" s="4"/>
    </row>
    <row r="106" spans="1:14" ht="35.1">
      <c r="A106" s="3" t="s">
        <v>183</v>
      </c>
      <c r="B106" s="3" t="s">
        <v>215</v>
      </c>
      <c r="C106" s="3" t="s">
        <v>216</v>
      </c>
      <c r="D106" s="3" t="s">
        <v>14</v>
      </c>
      <c r="E106" s="3" t="s">
        <v>223</v>
      </c>
      <c r="F106" s="3" t="s">
        <v>218</v>
      </c>
      <c r="G106" s="3"/>
      <c r="H106" s="3"/>
      <c r="I106" s="3" t="s">
        <v>20</v>
      </c>
      <c r="J106" s="3" t="s">
        <v>21</v>
      </c>
      <c r="K106" s="3" t="s">
        <v>219</v>
      </c>
      <c r="L106" s="3" t="s">
        <v>220</v>
      </c>
      <c r="M106" s="3"/>
      <c r="N106" s="3"/>
    </row>
    <row r="107" spans="1:14" ht="35.1">
      <c r="A107" s="4" t="s">
        <v>183</v>
      </c>
      <c r="B107" s="4" t="s">
        <v>215</v>
      </c>
      <c r="C107" s="4" t="s">
        <v>216</v>
      </c>
      <c r="D107" s="4" t="s">
        <v>29</v>
      </c>
      <c r="E107" s="4" t="s">
        <v>224</v>
      </c>
      <c r="F107" s="4" t="s">
        <v>218</v>
      </c>
      <c r="G107" s="4"/>
      <c r="H107" s="4"/>
      <c r="I107" s="4" t="s">
        <v>20</v>
      </c>
      <c r="J107" s="4" t="s">
        <v>21</v>
      </c>
      <c r="K107" s="4" t="s">
        <v>219</v>
      </c>
      <c r="L107" s="4" t="s">
        <v>220</v>
      </c>
      <c r="M107" s="4"/>
      <c r="N107" s="4"/>
    </row>
    <row r="108" spans="1:14" ht="35.1">
      <c r="A108" s="3" t="s">
        <v>225</v>
      </c>
      <c r="B108" s="3" t="s">
        <v>226</v>
      </c>
      <c r="C108" s="3" t="s">
        <v>227</v>
      </c>
      <c r="D108" s="3" t="s">
        <v>17</v>
      </c>
      <c r="E108" s="3" t="s">
        <v>228</v>
      </c>
      <c r="F108" s="3" t="s">
        <v>229</v>
      </c>
      <c r="G108" s="3"/>
      <c r="H108" s="3"/>
      <c r="I108" s="3" t="s">
        <v>20</v>
      </c>
      <c r="J108" s="3" t="s">
        <v>21</v>
      </c>
      <c r="K108" s="3" t="s">
        <v>230</v>
      </c>
      <c r="L108" s="3" t="s">
        <v>210</v>
      </c>
      <c r="M108" s="3"/>
      <c r="N108" s="3"/>
    </row>
    <row r="109" spans="1:14" ht="35.1">
      <c r="A109" s="4" t="s">
        <v>225</v>
      </c>
      <c r="B109" s="4" t="s">
        <v>226</v>
      </c>
      <c r="C109" s="4" t="s">
        <v>227</v>
      </c>
      <c r="D109" s="4" t="s">
        <v>24</v>
      </c>
      <c r="E109" s="4" t="s">
        <v>231</v>
      </c>
      <c r="F109" s="4" t="s">
        <v>229</v>
      </c>
      <c r="G109" s="4"/>
      <c r="H109" s="4"/>
      <c r="I109" s="4" t="s">
        <v>20</v>
      </c>
      <c r="J109" s="4" t="s">
        <v>21</v>
      </c>
      <c r="K109" s="4" t="s">
        <v>230</v>
      </c>
      <c r="L109" s="4" t="s">
        <v>210</v>
      </c>
      <c r="M109" s="4"/>
      <c r="N109" s="4"/>
    </row>
    <row r="110" spans="1:14" ht="35.1">
      <c r="A110" s="3" t="s">
        <v>225</v>
      </c>
      <c r="B110" s="3" t="s">
        <v>226</v>
      </c>
      <c r="C110" s="3" t="s">
        <v>227</v>
      </c>
      <c r="D110" s="3" t="s">
        <v>26</v>
      </c>
      <c r="E110" s="3" t="s">
        <v>232</v>
      </c>
      <c r="F110" s="3" t="s">
        <v>229</v>
      </c>
      <c r="G110" s="3"/>
      <c r="H110" s="3"/>
      <c r="I110" s="3" t="s">
        <v>20</v>
      </c>
      <c r="J110" s="3" t="s">
        <v>21</v>
      </c>
      <c r="K110" s="3" t="s">
        <v>230</v>
      </c>
      <c r="L110" s="3" t="s">
        <v>210</v>
      </c>
      <c r="M110" s="3"/>
      <c r="N110" s="3"/>
    </row>
    <row r="111" spans="1:14" ht="35.1">
      <c r="A111" s="4" t="s">
        <v>225</v>
      </c>
      <c r="B111" s="4" t="s">
        <v>226</v>
      </c>
      <c r="C111" s="4" t="s">
        <v>227</v>
      </c>
      <c r="D111" s="4" t="s">
        <v>14</v>
      </c>
      <c r="E111" s="4" t="s">
        <v>233</v>
      </c>
      <c r="F111" s="4" t="s">
        <v>229</v>
      </c>
      <c r="G111" s="4"/>
      <c r="H111" s="4"/>
      <c r="I111" s="4" t="s">
        <v>20</v>
      </c>
      <c r="J111" s="4" t="s">
        <v>21</v>
      </c>
      <c r="K111" s="4" t="s">
        <v>230</v>
      </c>
      <c r="L111" s="4" t="s">
        <v>210</v>
      </c>
      <c r="M111" s="4"/>
      <c r="N111" s="4"/>
    </row>
    <row r="112" spans="1:14" ht="35.1">
      <c r="A112" s="3" t="s">
        <v>225</v>
      </c>
      <c r="B112" s="3" t="s">
        <v>226</v>
      </c>
      <c r="C112" s="3" t="s">
        <v>227</v>
      </c>
      <c r="D112" s="3" t="s">
        <v>29</v>
      </c>
      <c r="E112" s="3" t="s">
        <v>234</v>
      </c>
      <c r="F112" s="3" t="s">
        <v>229</v>
      </c>
      <c r="G112" s="3"/>
      <c r="H112" s="3"/>
      <c r="I112" s="3" t="s">
        <v>20</v>
      </c>
      <c r="J112" s="3" t="s">
        <v>21</v>
      </c>
      <c r="K112" s="3" t="s">
        <v>230</v>
      </c>
      <c r="L112" s="3" t="s">
        <v>210</v>
      </c>
      <c r="M112" s="3"/>
      <c r="N112" s="3"/>
    </row>
    <row r="113" spans="1:14" ht="35.1">
      <c r="A113" s="4" t="s">
        <v>225</v>
      </c>
      <c r="B113" s="4" t="s">
        <v>235</v>
      </c>
      <c r="C113" s="4" t="s">
        <v>236</v>
      </c>
      <c r="D113" s="4" t="s">
        <v>17</v>
      </c>
      <c r="E113" s="4" t="s">
        <v>237</v>
      </c>
      <c r="F113" s="4" t="s">
        <v>238</v>
      </c>
      <c r="G113" s="4"/>
      <c r="H113" s="4"/>
      <c r="I113" s="4" t="s">
        <v>20</v>
      </c>
      <c r="J113" s="4" t="s">
        <v>21</v>
      </c>
      <c r="K113" s="4" t="s">
        <v>239</v>
      </c>
      <c r="L113" s="4" t="s">
        <v>240</v>
      </c>
      <c r="M113" s="4"/>
      <c r="N113" s="4"/>
    </row>
    <row r="114" spans="1:14" ht="35.1">
      <c r="A114" s="3" t="s">
        <v>225</v>
      </c>
      <c r="B114" s="3" t="s">
        <v>235</v>
      </c>
      <c r="C114" s="3" t="s">
        <v>236</v>
      </c>
      <c r="D114" s="3" t="s">
        <v>24</v>
      </c>
      <c r="E114" s="3" t="s">
        <v>241</v>
      </c>
      <c r="F114" s="3" t="s">
        <v>238</v>
      </c>
      <c r="G114" s="3"/>
      <c r="H114" s="3"/>
      <c r="I114" s="3" t="s">
        <v>20</v>
      </c>
      <c r="J114" s="3" t="s">
        <v>21</v>
      </c>
      <c r="K114" s="3" t="s">
        <v>239</v>
      </c>
      <c r="L114" s="3" t="s">
        <v>240</v>
      </c>
      <c r="M114" s="3"/>
      <c r="N114" s="3"/>
    </row>
    <row r="115" spans="1:14" ht="35.1">
      <c r="A115" s="4" t="s">
        <v>225</v>
      </c>
      <c r="B115" s="4" t="s">
        <v>235</v>
      </c>
      <c r="C115" s="4" t="s">
        <v>236</v>
      </c>
      <c r="D115" s="4" t="s">
        <v>26</v>
      </c>
      <c r="E115" s="4" t="s">
        <v>242</v>
      </c>
      <c r="F115" s="4" t="s">
        <v>238</v>
      </c>
      <c r="G115" s="4"/>
      <c r="H115" s="4"/>
      <c r="I115" s="4" t="s">
        <v>20</v>
      </c>
      <c r="J115" s="4" t="s">
        <v>21</v>
      </c>
      <c r="K115" s="4" t="s">
        <v>239</v>
      </c>
      <c r="L115" s="4" t="s">
        <v>240</v>
      </c>
      <c r="M115" s="4"/>
      <c r="N115" s="4"/>
    </row>
    <row r="116" spans="1:14" ht="35.1">
      <c r="A116" s="3" t="s">
        <v>225</v>
      </c>
      <c r="B116" s="3" t="s">
        <v>235</v>
      </c>
      <c r="C116" s="3" t="s">
        <v>236</v>
      </c>
      <c r="D116" s="3" t="s">
        <v>14</v>
      </c>
      <c r="E116" s="3" t="s">
        <v>243</v>
      </c>
      <c r="F116" s="3" t="s">
        <v>238</v>
      </c>
      <c r="G116" s="3"/>
      <c r="H116" s="3"/>
      <c r="I116" s="3" t="s">
        <v>20</v>
      </c>
      <c r="J116" s="3" t="s">
        <v>21</v>
      </c>
      <c r="K116" s="3" t="s">
        <v>239</v>
      </c>
      <c r="L116" s="3" t="s">
        <v>240</v>
      </c>
      <c r="M116" s="3"/>
      <c r="N116" s="3"/>
    </row>
    <row r="117" spans="1:14" ht="35.1">
      <c r="A117" s="4" t="s">
        <v>225</v>
      </c>
      <c r="B117" s="4" t="s">
        <v>235</v>
      </c>
      <c r="C117" s="4" t="s">
        <v>236</v>
      </c>
      <c r="D117" s="4" t="s">
        <v>29</v>
      </c>
      <c r="E117" s="4" t="s">
        <v>244</v>
      </c>
      <c r="F117" s="4" t="s">
        <v>238</v>
      </c>
      <c r="G117" s="4"/>
      <c r="H117" s="4"/>
      <c r="I117" s="4" t="s">
        <v>20</v>
      </c>
      <c r="J117" s="4" t="s">
        <v>21</v>
      </c>
      <c r="K117" s="4" t="s">
        <v>239</v>
      </c>
      <c r="L117" s="4" t="s">
        <v>240</v>
      </c>
      <c r="M117" s="4"/>
      <c r="N117" s="4"/>
    </row>
    <row r="118" spans="1:14" ht="35.1">
      <c r="A118" s="3" t="s">
        <v>225</v>
      </c>
      <c r="B118" s="3" t="s">
        <v>235</v>
      </c>
      <c r="C118" s="3" t="s">
        <v>236</v>
      </c>
      <c r="D118" s="3" t="s">
        <v>31</v>
      </c>
      <c r="E118" s="3" t="s">
        <v>245</v>
      </c>
      <c r="F118" s="3" t="s">
        <v>238</v>
      </c>
      <c r="G118" s="3"/>
      <c r="H118" s="3"/>
      <c r="I118" s="3" t="s">
        <v>20</v>
      </c>
      <c r="J118" s="3" t="s">
        <v>21</v>
      </c>
      <c r="K118" s="3" t="s">
        <v>239</v>
      </c>
      <c r="L118" s="3" t="s">
        <v>240</v>
      </c>
      <c r="M118" s="3"/>
      <c r="N118" s="3"/>
    </row>
    <row r="119" spans="1:14" ht="35.1">
      <c r="A119" s="4" t="s">
        <v>225</v>
      </c>
      <c r="B119" s="4" t="s">
        <v>246</v>
      </c>
      <c r="C119" s="4" t="s">
        <v>247</v>
      </c>
      <c r="D119" s="4" t="s">
        <v>17</v>
      </c>
      <c r="E119" s="4" t="s">
        <v>248</v>
      </c>
      <c r="F119" s="4" t="s">
        <v>249</v>
      </c>
      <c r="G119" s="4"/>
      <c r="H119" s="4"/>
      <c r="I119" s="4" t="s">
        <v>20</v>
      </c>
      <c r="J119" s="4" t="s">
        <v>21</v>
      </c>
      <c r="K119" s="4" t="s">
        <v>250</v>
      </c>
      <c r="L119" s="4" t="s">
        <v>251</v>
      </c>
      <c r="M119" s="4"/>
      <c r="N119" s="4"/>
    </row>
    <row r="120" spans="1:14" ht="35.1">
      <c r="A120" s="3" t="s">
        <v>225</v>
      </c>
      <c r="B120" s="3" t="s">
        <v>246</v>
      </c>
      <c r="C120" s="3" t="s">
        <v>247</v>
      </c>
      <c r="D120" s="3" t="s">
        <v>24</v>
      </c>
      <c r="E120" s="3" t="s">
        <v>252</v>
      </c>
      <c r="F120" s="3" t="s">
        <v>249</v>
      </c>
      <c r="G120" s="3"/>
      <c r="H120" s="3"/>
      <c r="I120" s="3" t="s">
        <v>20</v>
      </c>
      <c r="J120" s="3" t="s">
        <v>21</v>
      </c>
      <c r="K120" s="3" t="s">
        <v>250</v>
      </c>
      <c r="L120" s="3" t="s">
        <v>251</v>
      </c>
      <c r="M120" s="3"/>
      <c r="N120" s="3"/>
    </row>
    <row r="121" spans="1:14" ht="35.1">
      <c r="A121" s="4" t="s">
        <v>225</v>
      </c>
      <c r="B121" s="4" t="s">
        <v>246</v>
      </c>
      <c r="C121" s="4" t="s">
        <v>247</v>
      </c>
      <c r="D121" s="4" t="s">
        <v>26</v>
      </c>
      <c r="E121" s="4" t="s">
        <v>253</v>
      </c>
      <c r="F121" s="4" t="s">
        <v>249</v>
      </c>
      <c r="G121" s="4"/>
      <c r="H121" s="4"/>
      <c r="I121" s="4" t="s">
        <v>20</v>
      </c>
      <c r="J121" s="4" t="s">
        <v>21</v>
      </c>
      <c r="K121" s="4" t="s">
        <v>250</v>
      </c>
      <c r="L121" s="4" t="s">
        <v>251</v>
      </c>
      <c r="M121" s="4"/>
      <c r="N121" s="4"/>
    </row>
    <row r="122" spans="1:14" ht="35.1">
      <c r="A122" s="3" t="s">
        <v>225</v>
      </c>
      <c r="B122" s="3" t="s">
        <v>246</v>
      </c>
      <c r="C122" s="3" t="s">
        <v>247</v>
      </c>
      <c r="D122" s="3" t="s">
        <v>14</v>
      </c>
      <c r="E122" s="3" t="s">
        <v>254</v>
      </c>
      <c r="F122" s="3" t="s">
        <v>249</v>
      </c>
      <c r="G122" s="3"/>
      <c r="H122" s="3"/>
      <c r="I122" s="3" t="s">
        <v>20</v>
      </c>
      <c r="J122" s="3" t="s">
        <v>21</v>
      </c>
      <c r="K122" s="3" t="s">
        <v>250</v>
      </c>
      <c r="L122" s="3" t="s">
        <v>251</v>
      </c>
      <c r="M122" s="3"/>
      <c r="N122" s="3"/>
    </row>
    <row r="123" spans="1:14" ht="35.1">
      <c r="A123" s="4" t="s">
        <v>225</v>
      </c>
      <c r="B123" s="4" t="s">
        <v>246</v>
      </c>
      <c r="C123" s="4" t="s">
        <v>247</v>
      </c>
      <c r="D123" s="4" t="s">
        <v>29</v>
      </c>
      <c r="E123" s="4" t="s">
        <v>255</v>
      </c>
      <c r="F123" s="4" t="s">
        <v>249</v>
      </c>
      <c r="G123" s="4"/>
      <c r="H123" s="4"/>
      <c r="I123" s="4" t="s">
        <v>20</v>
      </c>
      <c r="J123" s="4" t="s">
        <v>21</v>
      </c>
      <c r="K123" s="4" t="s">
        <v>250</v>
      </c>
      <c r="L123" s="4" t="s">
        <v>251</v>
      </c>
      <c r="M123" s="4"/>
      <c r="N123" s="4"/>
    </row>
    <row r="124" spans="1:14" ht="35.1">
      <c r="A124" s="3" t="s">
        <v>256</v>
      </c>
      <c r="B124" s="3" t="s">
        <v>257</v>
      </c>
      <c r="C124" s="3" t="s">
        <v>258</v>
      </c>
      <c r="D124" s="3" t="s">
        <v>17</v>
      </c>
      <c r="E124" s="3" t="s">
        <v>259</v>
      </c>
      <c r="F124" s="3" t="s">
        <v>260</v>
      </c>
      <c r="G124" s="3"/>
      <c r="H124" s="3"/>
      <c r="I124" s="3" t="s">
        <v>20</v>
      </c>
      <c r="J124" s="3" t="s">
        <v>21</v>
      </c>
      <c r="K124" s="3" t="s">
        <v>261</v>
      </c>
      <c r="L124" s="3"/>
      <c r="M124" s="3"/>
      <c r="N124" s="3"/>
    </row>
    <row r="125" spans="1:14" ht="35.1">
      <c r="A125" s="4" t="s">
        <v>256</v>
      </c>
      <c r="B125" s="4" t="s">
        <v>257</v>
      </c>
      <c r="C125" s="4" t="s">
        <v>258</v>
      </c>
      <c r="D125" s="4" t="s">
        <v>24</v>
      </c>
      <c r="E125" s="4" t="s">
        <v>262</v>
      </c>
      <c r="F125" s="4" t="s">
        <v>260</v>
      </c>
      <c r="G125" s="4"/>
      <c r="H125" s="4"/>
      <c r="I125" s="4" t="s">
        <v>20</v>
      </c>
      <c r="J125" s="4" t="s">
        <v>21</v>
      </c>
      <c r="K125" s="4" t="s">
        <v>261</v>
      </c>
      <c r="L125" s="4"/>
      <c r="M125" s="4"/>
      <c r="N125" s="4"/>
    </row>
    <row r="126" spans="1:14" ht="35.1">
      <c r="A126" s="3" t="s">
        <v>256</v>
      </c>
      <c r="B126" s="3" t="s">
        <v>257</v>
      </c>
      <c r="C126" s="3" t="s">
        <v>258</v>
      </c>
      <c r="D126" s="3" t="s">
        <v>26</v>
      </c>
      <c r="E126" s="3" t="s">
        <v>263</v>
      </c>
      <c r="F126" s="3" t="s">
        <v>260</v>
      </c>
      <c r="G126" s="3"/>
      <c r="H126" s="3"/>
      <c r="I126" s="3" t="s">
        <v>20</v>
      </c>
      <c r="J126" s="3" t="s">
        <v>21</v>
      </c>
      <c r="K126" s="3" t="s">
        <v>261</v>
      </c>
      <c r="L126" s="3"/>
      <c r="M126" s="3"/>
      <c r="N126" s="3"/>
    </row>
    <row r="127" spans="1:14" ht="35.1">
      <c r="A127" s="4" t="s">
        <v>256</v>
      </c>
      <c r="B127" s="4" t="s">
        <v>257</v>
      </c>
      <c r="C127" s="4" t="s">
        <v>258</v>
      </c>
      <c r="D127" s="4" t="s">
        <v>14</v>
      </c>
      <c r="E127" s="4" t="s">
        <v>264</v>
      </c>
      <c r="F127" s="4" t="s">
        <v>260</v>
      </c>
      <c r="G127" s="4"/>
      <c r="H127" s="4"/>
      <c r="I127" s="4" t="s">
        <v>20</v>
      </c>
      <c r="J127" s="4" t="s">
        <v>21</v>
      </c>
      <c r="K127" s="4" t="s">
        <v>261</v>
      </c>
      <c r="L127" s="4"/>
      <c r="M127" s="4"/>
      <c r="N127" s="4"/>
    </row>
    <row r="128" spans="1:14" ht="35.1">
      <c r="A128" s="3" t="s">
        <v>256</v>
      </c>
      <c r="B128" s="3" t="s">
        <v>257</v>
      </c>
      <c r="C128" s="3" t="s">
        <v>258</v>
      </c>
      <c r="D128" s="3" t="s">
        <v>29</v>
      </c>
      <c r="E128" s="3" t="s">
        <v>265</v>
      </c>
      <c r="F128" s="3" t="s">
        <v>260</v>
      </c>
      <c r="G128" s="3"/>
      <c r="H128" s="3"/>
      <c r="I128" s="3" t="s">
        <v>20</v>
      </c>
      <c r="J128" s="3" t="s">
        <v>21</v>
      </c>
      <c r="K128" s="3" t="s">
        <v>261</v>
      </c>
      <c r="L128" s="3"/>
      <c r="M128" s="3"/>
      <c r="N128" s="3"/>
    </row>
    <row r="129" spans="1:14" ht="35.1">
      <c r="A129" s="4" t="s">
        <v>256</v>
      </c>
      <c r="B129" s="4" t="s">
        <v>266</v>
      </c>
      <c r="C129" s="4" t="s">
        <v>267</v>
      </c>
      <c r="D129" s="4" t="s">
        <v>17</v>
      </c>
      <c r="E129" s="4" t="s">
        <v>268</v>
      </c>
      <c r="F129" s="4" t="s">
        <v>269</v>
      </c>
      <c r="G129" s="4"/>
      <c r="H129" s="4"/>
      <c r="I129" s="4" t="s">
        <v>20</v>
      </c>
      <c r="J129" s="4" t="s">
        <v>21</v>
      </c>
      <c r="K129" s="4" t="s">
        <v>270</v>
      </c>
      <c r="L129" s="4" t="s">
        <v>271</v>
      </c>
      <c r="M129" s="4"/>
      <c r="N129" s="4"/>
    </row>
    <row r="130" spans="1:14" ht="35.1">
      <c r="A130" s="3" t="s">
        <v>256</v>
      </c>
      <c r="B130" s="3" t="s">
        <v>266</v>
      </c>
      <c r="C130" s="3" t="s">
        <v>267</v>
      </c>
      <c r="D130" s="3" t="s">
        <v>24</v>
      </c>
      <c r="E130" s="3" t="s">
        <v>272</v>
      </c>
      <c r="F130" s="3" t="s">
        <v>269</v>
      </c>
      <c r="G130" s="3"/>
      <c r="H130" s="3"/>
      <c r="I130" s="3" t="s">
        <v>20</v>
      </c>
      <c r="J130" s="3" t="s">
        <v>21</v>
      </c>
      <c r="K130" s="3" t="s">
        <v>270</v>
      </c>
      <c r="L130" s="3" t="s">
        <v>271</v>
      </c>
      <c r="M130" s="3"/>
      <c r="N130" s="3"/>
    </row>
    <row r="131" spans="1:14" ht="35.1">
      <c r="A131" s="4" t="s">
        <v>256</v>
      </c>
      <c r="B131" s="4" t="s">
        <v>266</v>
      </c>
      <c r="C131" s="4" t="s">
        <v>267</v>
      </c>
      <c r="D131" s="4" t="s">
        <v>26</v>
      </c>
      <c r="E131" s="4" t="s">
        <v>273</v>
      </c>
      <c r="F131" s="4" t="s">
        <v>269</v>
      </c>
      <c r="G131" s="4"/>
      <c r="H131" s="4"/>
      <c r="I131" s="4" t="s">
        <v>20</v>
      </c>
      <c r="J131" s="4" t="s">
        <v>21</v>
      </c>
      <c r="K131" s="4" t="s">
        <v>270</v>
      </c>
      <c r="L131" s="4" t="s">
        <v>271</v>
      </c>
      <c r="M131" s="4"/>
      <c r="N131" s="4"/>
    </row>
    <row r="132" spans="1:14" ht="35.1">
      <c r="A132" s="3" t="s">
        <v>256</v>
      </c>
      <c r="B132" s="3" t="s">
        <v>266</v>
      </c>
      <c r="C132" s="3" t="s">
        <v>267</v>
      </c>
      <c r="D132" s="3" t="s">
        <v>14</v>
      </c>
      <c r="E132" s="3" t="s">
        <v>274</v>
      </c>
      <c r="F132" s="3" t="s">
        <v>269</v>
      </c>
      <c r="G132" s="3"/>
      <c r="H132" s="3"/>
      <c r="I132" s="3" t="s">
        <v>20</v>
      </c>
      <c r="J132" s="3" t="s">
        <v>21</v>
      </c>
      <c r="K132" s="3" t="s">
        <v>270</v>
      </c>
      <c r="L132" s="3" t="s">
        <v>271</v>
      </c>
      <c r="M132" s="3"/>
      <c r="N132" s="3"/>
    </row>
    <row r="133" spans="1:14" ht="35.1">
      <c r="A133" s="4" t="s">
        <v>256</v>
      </c>
      <c r="B133" s="4" t="s">
        <v>266</v>
      </c>
      <c r="C133" s="4" t="s">
        <v>267</v>
      </c>
      <c r="D133" s="4" t="s">
        <v>29</v>
      </c>
      <c r="E133" s="4" t="s">
        <v>275</v>
      </c>
      <c r="F133" s="4" t="s">
        <v>269</v>
      </c>
      <c r="G133" s="4"/>
      <c r="H133" s="4"/>
      <c r="I133" s="4" t="s">
        <v>20</v>
      </c>
      <c r="J133" s="4" t="s">
        <v>21</v>
      </c>
      <c r="K133" s="4" t="s">
        <v>270</v>
      </c>
      <c r="L133" s="4" t="s">
        <v>271</v>
      </c>
      <c r="M133" s="4"/>
      <c r="N133" s="4"/>
    </row>
  </sheetData>
  <autoFilter ref="A1:N1" xr:uid="{00000000-0009-0000-0000-000000000000}"/>
  <dataValidations count="2">
    <dataValidation type="list" allowBlank="1" sqref="I2:I133" xr:uid="{00000000-0002-0000-0000-000000000000}">
      <formula1>"Not Started,In Progress,Under Review,Complete,N/A"</formula1>
      <formula2>0</formula2>
    </dataValidation>
    <dataValidation type="list" allowBlank="1" sqref="J2:J133" xr:uid="{00000000-0002-0000-0000-000001000000}">
      <formula1>"0%,10%,25%,50%,75%,90%,100%"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21"/>
  <sheetViews>
    <sheetView zoomScaleNormal="100" workbookViewId="0"/>
  </sheetViews>
  <sheetFormatPr defaultColWidth="8.7109375" defaultRowHeight="15"/>
  <cols>
    <col min="1" max="1" width="35" customWidth="1"/>
    <col min="2" max="2" width="20" customWidth="1"/>
    <col min="3" max="5" width="14" customWidth="1"/>
  </cols>
  <sheetData>
    <row r="1" spans="1:6" ht="19.7">
      <c r="A1" s="1" t="s">
        <v>276</v>
      </c>
      <c r="B1" s="1"/>
      <c r="C1" s="1"/>
      <c r="D1" s="1"/>
      <c r="E1" s="1"/>
      <c r="F1" s="1"/>
    </row>
    <row r="3" spans="1:6">
      <c r="A3" s="27" t="s">
        <v>277</v>
      </c>
      <c r="B3" s="27"/>
    </row>
    <row r="4" spans="1:6">
      <c r="A4" s="6" t="s">
        <v>278</v>
      </c>
      <c r="B4" s="6" t="s">
        <v>279</v>
      </c>
    </row>
    <row r="5" spans="1:6">
      <c r="A5" s="7" t="s">
        <v>280</v>
      </c>
      <c r="B5" s="8">
        <f>COUNTA('Implementation Tracker'!E2:E133)</f>
        <v>132</v>
      </c>
    </row>
    <row r="6" spans="1:6">
      <c r="A6" s="9" t="s">
        <v>20</v>
      </c>
      <c r="B6" s="8">
        <f>COUNTIF('Implementation Tracker'!I2:I133,"Not Started")</f>
        <v>132</v>
      </c>
    </row>
    <row r="7" spans="1:6">
      <c r="A7" s="9" t="s">
        <v>281</v>
      </c>
      <c r="B7" s="8">
        <f>COUNTIF('Implementation Tracker'!I2:I133,"In Progress")</f>
        <v>0</v>
      </c>
    </row>
    <row r="8" spans="1:6">
      <c r="A8" s="9" t="s">
        <v>282</v>
      </c>
      <c r="B8" s="8">
        <f>COUNTIF('Implementation Tracker'!I2:I133,"Under Review")</f>
        <v>0</v>
      </c>
    </row>
    <row r="9" spans="1:6">
      <c r="A9" s="9" t="s">
        <v>283</v>
      </c>
      <c r="B9" s="8">
        <f>COUNTIF('Implementation Tracker'!I2:I133,"Complete")</f>
        <v>0</v>
      </c>
    </row>
    <row r="10" spans="1:6">
      <c r="A10" s="9" t="s">
        <v>284</v>
      </c>
      <c r="B10" s="8">
        <f>COUNTIF('Implementation Tracker'!I2:I133,"N/A")</f>
        <v>0</v>
      </c>
    </row>
    <row r="11" spans="1:6">
      <c r="A11" s="10" t="s">
        <v>285</v>
      </c>
      <c r="B11" s="11">
        <f>IF(B5&gt;0,B8/B5*100,0)</f>
        <v>0</v>
      </c>
    </row>
    <row r="13" spans="1:6">
      <c r="A13" s="5" t="s">
        <v>286</v>
      </c>
    </row>
    <row r="14" spans="1:6">
      <c r="A14" s="6" t="s">
        <v>0</v>
      </c>
      <c r="B14" s="6" t="s">
        <v>287</v>
      </c>
      <c r="C14" s="6" t="s">
        <v>280</v>
      </c>
      <c r="D14" s="6" t="s">
        <v>283</v>
      </c>
      <c r="E14" s="6" t="s">
        <v>9</v>
      </c>
    </row>
    <row r="15" spans="1:6">
      <c r="A15" s="7" t="s">
        <v>14</v>
      </c>
      <c r="B15" s="9" t="s">
        <v>288</v>
      </c>
      <c r="C15" s="12">
        <f>COUNTIF('Implementation Tracker'!A2:A133,"4")</f>
        <v>22</v>
      </c>
      <c r="D15" s="12">
        <f>COUNTIFS('Implementation Tracker'!A2:A133,"4",'Implementation Tracker'!I2:I133,"Complete")</f>
        <v>0</v>
      </c>
      <c r="E15" s="8">
        <f>IF(C15&gt;0,D15/C15*100,0)</f>
        <v>0</v>
      </c>
    </row>
    <row r="16" spans="1:6">
      <c r="A16" s="7" t="s">
        <v>29</v>
      </c>
      <c r="B16" s="9" t="s">
        <v>289</v>
      </c>
      <c r="C16" s="12">
        <f>COUNTIF('Implementation Tracker'!A2:A133,"5")</f>
        <v>18</v>
      </c>
      <c r="D16" s="12">
        <f>COUNTIFS('Implementation Tracker'!A2:A133,"5",'Implementation Tracker'!I2:I133,"Complete")</f>
        <v>0</v>
      </c>
      <c r="E16" s="8">
        <f>IF(C16&gt;0,D16/C16*100,0)</f>
        <v>0</v>
      </c>
    </row>
    <row r="17" spans="1:5">
      <c r="A17" s="7" t="s">
        <v>31</v>
      </c>
      <c r="B17" s="9" t="s">
        <v>290</v>
      </c>
      <c r="C17" s="12">
        <f>COUNTIF('Implementation Tracker'!A2:A133,"6")</f>
        <v>22</v>
      </c>
      <c r="D17" s="12">
        <f>COUNTIFS('Implementation Tracker'!A2:A133,"6",'Implementation Tracker'!I2:I133,"Complete")</f>
        <v>0</v>
      </c>
      <c r="E17" s="8">
        <f>IF(C17&gt;0,D17/C17*100,0)</f>
        <v>0</v>
      </c>
    </row>
    <row r="18" spans="1:5">
      <c r="A18" s="7" t="s">
        <v>108</v>
      </c>
      <c r="B18" s="9" t="s">
        <v>291</v>
      </c>
      <c r="C18" s="12">
        <f>COUNTIF('Implementation Tracker'!A2:A133,"7")</f>
        <v>23</v>
      </c>
      <c r="D18" s="12">
        <f>COUNTIFS('Implementation Tracker'!A2:A133,"7",'Implementation Tracker'!I2:I133,"Complete")</f>
        <v>0</v>
      </c>
      <c r="E18" s="8">
        <f>IF(C18&gt;0,D18/C18*100,0)</f>
        <v>0</v>
      </c>
    </row>
    <row r="19" spans="1:5">
      <c r="A19" s="7" t="s">
        <v>183</v>
      </c>
      <c r="B19" s="9" t="s">
        <v>292</v>
      </c>
      <c r="C19" s="12">
        <f>COUNTIF('Implementation Tracker'!A2:A133,"8")</f>
        <v>21</v>
      </c>
      <c r="D19" s="12">
        <f>COUNTIFS('Implementation Tracker'!A2:A133,"8",'Implementation Tracker'!I2:I133,"Complete")</f>
        <v>0</v>
      </c>
      <c r="E19" s="8">
        <f>IF(C19&gt;0,D19/C19*100,0)</f>
        <v>0</v>
      </c>
    </row>
    <row r="20" spans="1:5">
      <c r="A20" s="7" t="s">
        <v>225</v>
      </c>
      <c r="B20" s="9" t="s">
        <v>293</v>
      </c>
      <c r="C20" s="12">
        <f>COUNTIF('Implementation Tracker'!A2:A133,"9")</f>
        <v>16</v>
      </c>
      <c r="D20" s="12">
        <f>COUNTIFS('Implementation Tracker'!A2:A133,"9",'Implementation Tracker'!I2:I133,"Complete")</f>
        <v>0</v>
      </c>
      <c r="E20" s="8">
        <f>IF(C20&gt;0,D20/C20*100,0)</f>
        <v>0</v>
      </c>
    </row>
    <row r="21" spans="1:5">
      <c r="A21" s="7" t="s">
        <v>256</v>
      </c>
      <c r="B21" s="9" t="s">
        <v>294</v>
      </c>
      <c r="C21" s="12">
        <f>COUNTIF('Implementation Tracker'!A2:A133,"10")</f>
        <v>10</v>
      </c>
      <c r="D21" s="12">
        <f>COUNTIFS('Implementation Tracker'!A2:A133,"10",'Implementation Tracker'!I2:I133,"Complete")</f>
        <v>0</v>
      </c>
      <c r="E21" s="8">
        <f>IF(C21&gt;0,D21/C21*100,0)</f>
        <v>0</v>
      </c>
    </row>
  </sheetData>
  <mergeCells count="2">
    <mergeCell ref="A1:F1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E1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8" customWidth="1"/>
    <col min="2" max="2" width="16" customWidth="1"/>
    <col min="3" max="3" width="52" customWidth="1"/>
    <col min="4" max="4" width="22" customWidth="1"/>
    <col min="5" max="5" width="16" customWidth="1"/>
  </cols>
  <sheetData>
    <row r="1" spans="1:5" ht="26.85">
      <c r="A1" s="2" t="s">
        <v>295</v>
      </c>
      <c r="B1" s="2" t="s">
        <v>296</v>
      </c>
      <c r="C1" s="2" t="s">
        <v>297</v>
      </c>
      <c r="D1" s="2" t="s">
        <v>298</v>
      </c>
      <c r="E1" s="2" t="s">
        <v>299</v>
      </c>
    </row>
    <row r="2" spans="1:5">
      <c r="A2" s="13" t="s">
        <v>300</v>
      </c>
      <c r="B2" s="14" t="s">
        <v>301</v>
      </c>
      <c r="C2" s="3" t="s">
        <v>302</v>
      </c>
      <c r="D2" s="14" t="s">
        <v>303</v>
      </c>
      <c r="E2" s="14" t="s">
        <v>304</v>
      </c>
    </row>
    <row r="3" spans="1:5">
      <c r="A3" s="7" t="s">
        <v>305</v>
      </c>
      <c r="B3" s="9" t="s">
        <v>301</v>
      </c>
      <c r="C3" s="4" t="s">
        <v>306</v>
      </c>
      <c r="D3" s="9" t="s">
        <v>307</v>
      </c>
      <c r="E3" s="9" t="s">
        <v>304</v>
      </c>
    </row>
    <row r="4" spans="1:5">
      <c r="A4" s="13" t="s">
        <v>308</v>
      </c>
      <c r="B4" s="14" t="s">
        <v>301</v>
      </c>
      <c r="C4" s="3" t="s">
        <v>309</v>
      </c>
      <c r="D4" s="14" t="s">
        <v>310</v>
      </c>
      <c r="E4" s="14" t="s">
        <v>304</v>
      </c>
    </row>
    <row r="5" spans="1:5" ht="23.85">
      <c r="A5" s="7" t="s">
        <v>311</v>
      </c>
      <c r="B5" s="9" t="s">
        <v>301</v>
      </c>
      <c r="C5" s="4" t="s">
        <v>312</v>
      </c>
      <c r="D5" s="9" t="s">
        <v>313</v>
      </c>
      <c r="E5" s="9" t="s">
        <v>304</v>
      </c>
    </row>
    <row r="6" spans="1:5" ht="23.85">
      <c r="A6" s="13" t="s">
        <v>314</v>
      </c>
      <c r="B6" s="14" t="s">
        <v>315</v>
      </c>
      <c r="C6" s="3" t="s">
        <v>316</v>
      </c>
      <c r="D6" s="14" t="s">
        <v>317</v>
      </c>
      <c r="E6" s="14" t="s">
        <v>304</v>
      </c>
    </row>
    <row r="7" spans="1:5" ht="23.85">
      <c r="A7" s="7" t="s">
        <v>318</v>
      </c>
      <c r="B7" s="9" t="s">
        <v>315</v>
      </c>
      <c r="C7" s="4" t="s">
        <v>319</v>
      </c>
      <c r="D7" s="9" t="s">
        <v>320</v>
      </c>
      <c r="E7" s="9" t="s">
        <v>304</v>
      </c>
    </row>
    <row r="8" spans="1:5" ht="23.85">
      <c r="A8" s="13" t="s">
        <v>321</v>
      </c>
      <c r="B8" s="14" t="s">
        <v>322</v>
      </c>
      <c r="C8" s="3" t="s">
        <v>323</v>
      </c>
      <c r="D8" s="14" t="s">
        <v>324</v>
      </c>
      <c r="E8" s="14" t="s">
        <v>304</v>
      </c>
    </row>
    <row r="9" spans="1:5">
      <c r="A9" s="7" t="s">
        <v>325</v>
      </c>
      <c r="B9" s="9" t="s">
        <v>326</v>
      </c>
      <c r="C9" s="4" t="s">
        <v>327</v>
      </c>
      <c r="D9" s="9" t="s">
        <v>328</v>
      </c>
      <c r="E9" s="9" t="s">
        <v>304</v>
      </c>
    </row>
    <row r="10" spans="1:5">
      <c r="A10" s="13" t="s">
        <v>329</v>
      </c>
      <c r="B10" s="14" t="s">
        <v>315</v>
      </c>
      <c r="C10" s="3" t="s">
        <v>330</v>
      </c>
      <c r="D10" s="14" t="s">
        <v>331</v>
      </c>
      <c r="E10" s="14" t="s">
        <v>304</v>
      </c>
    </row>
    <row r="11" spans="1:5">
      <c r="A11" s="7" t="s">
        <v>332</v>
      </c>
      <c r="B11" s="9" t="s">
        <v>333</v>
      </c>
      <c r="C11" s="4" t="s">
        <v>334</v>
      </c>
      <c r="D11" s="9" t="s">
        <v>335</v>
      </c>
      <c r="E11" s="9" t="s">
        <v>304</v>
      </c>
    </row>
    <row r="12" spans="1:5">
      <c r="A12" s="13" t="s">
        <v>336</v>
      </c>
      <c r="B12" s="14" t="s">
        <v>333</v>
      </c>
      <c r="C12" s="3" t="s">
        <v>337</v>
      </c>
      <c r="D12" s="14" t="s">
        <v>338</v>
      </c>
      <c r="E12" s="14" t="s">
        <v>304</v>
      </c>
    </row>
    <row r="13" spans="1:5">
      <c r="A13" s="7" t="s">
        <v>339</v>
      </c>
      <c r="B13" s="9" t="s">
        <v>301</v>
      </c>
      <c r="C13" s="4" t="s">
        <v>340</v>
      </c>
      <c r="D13" s="9" t="s">
        <v>341</v>
      </c>
      <c r="E13" s="9" t="s">
        <v>304</v>
      </c>
    </row>
    <row r="14" spans="1:5">
      <c r="A14" s="13" t="s">
        <v>342</v>
      </c>
      <c r="B14" s="14" t="s">
        <v>315</v>
      </c>
      <c r="C14" s="3" t="s">
        <v>343</v>
      </c>
      <c r="D14" s="14" t="s">
        <v>344</v>
      </c>
      <c r="E14" s="14" t="s">
        <v>304</v>
      </c>
    </row>
  </sheetData>
  <dataValidations count="1">
    <dataValidation type="list" allowBlank="1" sqref="E2:E14" xr:uid="{00000000-0002-0000-0200-000000000000}">
      <formula1>"Not Assessed,Gap Identified,Partially Compliant,Compliant,N/A"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J2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5" customWidth="1"/>
    <col min="2" max="2" width="38" customWidth="1"/>
    <col min="3" max="3" width="10" customWidth="1"/>
    <col min="4" max="4" width="20" customWidth="1"/>
    <col min="5" max="5" width="18" customWidth="1"/>
    <col min="6" max="6" width="8" customWidth="1"/>
    <col min="7" max="9" width="13" customWidth="1"/>
    <col min="10" max="10" width="22" customWidth="1"/>
  </cols>
  <sheetData>
    <row r="1" spans="1:10" ht="26.85">
      <c r="A1" s="2" t="s">
        <v>345</v>
      </c>
      <c r="B1" s="2" t="s">
        <v>346</v>
      </c>
      <c r="C1" s="2" t="s">
        <v>347</v>
      </c>
      <c r="D1" s="2" t="s">
        <v>11</v>
      </c>
      <c r="E1" s="2" t="s">
        <v>348</v>
      </c>
      <c r="F1" s="2" t="s">
        <v>349</v>
      </c>
      <c r="G1" s="2" t="s">
        <v>350</v>
      </c>
      <c r="H1" s="2" t="s">
        <v>351</v>
      </c>
      <c r="I1" s="2" t="s">
        <v>8</v>
      </c>
      <c r="J1" s="2" t="s">
        <v>352</v>
      </c>
    </row>
    <row r="2" spans="1:10">
      <c r="A2" s="15">
        <v>1</v>
      </c>
      <c r="B2" s="14" t="s">
        <v>353</v>
      </c>
      <c r="C2" s="15" t="s">
        <v>44</v>
      </c>
      <c r="D2" s="14" t="s">
        <v>23</v>
      </c>
      <c r="E2" s="14"/>
      <c r="F2" s="14"/>
      <c r="G2" s="14"/>
      <c r="H2" s="14"/>
      <c r="I2" s="14" t="s">
        <v>354</v>
      </c>
      <c r="J2" s="14"/>
    </row>
    <row r="3" spans="1:10">
      <c r="A3" s="16">
        <v>2</v>
      </c>
      <c r="B3" s="9" t="s">
        <v>355</v>
      </c>
      <c r="C3" s="16" t="s">
        <v>15</v>
      </c>
      <c r="D3" s="9"/>
      <c r="E3" s="9"/>
      <c r="F3" s="9"/>
      <c r="G3" s="9"/>
      <c r="H3" s="9"/>
      <c r="I3" s="9" t="s">
        <v>354</v>
      </c>
      <c r="J3" s="9"/>
    </row>
    <row r="4" spans="1:10">
      <c r="A4" s="15">
        <v>3</v>
      </c>
      <c r="B4" s="14" t="s">
        <v>356</v>
      </c>
      <c r="C4" s="15" t="s">
        <v>33</v>
      </c>
      <c r="D4" s="14" t="s">
        <v>357</v>
      </c>
      <c r="E4" s="14"/>
      <c r="F4" s="14"/>
      <c r="G4" s="14"/>
      <c r="H4" s="14"/>
      <c r="I4" s="14" t="s">
        <v>354</v>
      </c>
      <c r="J4" s="14"/>
    </row>
    <row r="5" spans="1:10">
      <c r="A5" s="16">
        <v>4</v>
      </c>
      <c r="B5" s="9" t="s">
        <v>358</v>
      </c>
      <c r="C5" s="16" t="s">
        <v>55</v>
      </c>
      <c r="D5" s="9" t="s">
        <v>60</v>
      </c>
      <c r="E5" s="9"/>
      <c r="F5" s="9"/>
      <c r="G5" s="9"/>
      <c r="H5" s="9"/>
      <c r="I5" s="9" t="s">
        <v>354</v>
      </c>
      <c r="J5" s="9"/>
    </row>
    <row r="6" spans="1:10">
      <c r="A6" s="15">
        <v>5</v>
      </c>
      <c r="B6" s="14" t="s">
        <v>359</v>
      </c>
      <c r="C6" s="15" t="s">
        <v>75</v>
      </c>
      <c r="D6" s="14" t="s">
        <v>360</v>
      </c>
      <c r="E6" s="14"/>
      <c r="F6" s="14"/>
      <c r="G6" s="14"/>
      <c r="H6" s="14"/>
      <c r="I6" s="14" t="s">
        <v>354</v>
      </c>
      <c r="J6" s="14"/>
    </row>
    <row r="7" spans="1:10">
      <c r="A7" s="16">
        <v>6</v>
      </c>
      <c r="B7" s="9" t="s">
        <v>361</v>
      </c>
      <c r="C7" s="16" t="s">
        <v>75</v>
      </c>
      <c r="D7" s="9"/>
      <c r="E7" s="9"/>
      <c r="F7" s="9"/>
      <c r="G7" s="9"/>
      <c r="H7" s="9"/>
      <c r="I7" s="9" t="s">
        <v>354</v>
      </c>
      <c r="J7" s="9"/>
    </row>
    <row r="8" spans="1:10">
      <c r="A8" s="15">
        <v>7</v>
      </c>
      <c r="B8" s="14" t="s">
        <v>362</v>
      </c>
      <c r="C8" s="15" t="s">
        <v>86</v>
      </c>
      <c r="D8" s="14" t="s">
        <v>210</v>
      </c>
      <c r="E8" s="14"/>
      <c r="F8" s="14"/>
      <c r="G8" s="14"/>
      <c r="H8" s="14"/>
      <c r="I8" s="14" t="s">
        <v>354</v>
      </c>
      <c r="J8" s="14"/>
    </row>
    <row r="9" spans="1:10">
      <c r="A9" s="16">
        <v>8</v>
      </c>
      <c r="B9" s="9" t="s">
        <v>363</v>
      </c>
      <c r="C9" s="16" t="s">
        <v>97</v>
      </c>
      <c r="D9" s="9" t="s">
        <v>200</v>
      </c>
      <c r="E9" s="9"/>
      <c r="F9" s="9"/>
      <c r="G9" s="9"/>
      <c r="H9" s="9"/>
      <c r="I9" s="9" t="s">
        <v>354</v>
      </c>
      <c r="J9" s="9"/>
    </row>
    <row r="10" spans="1:10">
      <c r="A10" s="15">
        <v>9</v>
      </c>
      <c r="B10" s="14" t="s">
        <v>364</v>
      </c>
      <c r="C10" s="15" t="s">
        <v>365</v>
      </c>
      <c r="D10" s="14" t="s">
        <v>251</v>
      </c>
      <c r="E10" s="14"/>
      <c r="F10" s="14"/>
      <c r="G10" s="14"/>
      <c r="H10" s="14"/>
      <c r="I10" s="14" t="s">
        <v>354</v>
      </c>
      <c r="J10" s="14"/>
    </row>
    <row r="11" spans="1:10">
      <c r="A11" s="16">
        <v>10</v>
      </c>
      <c r="B11" s="9" t="s">
        <v>366</v>
      </c>
      <c r="C11" s="16" t="s">
        <v>110</v>
      </c>
      <c r="D11" s="9" t="s">
        <v>367</v>
      </c>
      <c r="E11" s="9"/>
      <c r="F11" s="9"/>
      <c r="G11" s="9"/>
      <c r="H11" s="9"/>
      <c r="I11" s="9" t="s">
        <v>354</v>
      </c>
      <c r="J11" s="9"/>
    </row>
    <row r="12" spans="1:10">
      <c r="A12" s="15">
        <v>11</v>
      </c>
      <c r="B12" s="14" t="s">
        <v>368</v>
      </c>
      <c r="C12" s="15" t="s">
        <v>110</v>
      </c>
      <c r="D12" s="14" t="s">
        <v>369</v>
      </c>
      <c r="E12" s="14"/>
      <c r="F12" s="14"/>
      <c r="G12" s="14"/>
      <c r="H12" s="14"/>
      <c r="I12" s="14" t="s">
        <v>354</v>
      </c>
      <c r="J12" s="14"/>
    </row>
    <row r="13" spans="1:10">
      <c r="A13" s="16">
        <v>12</v>
      </c>
      <c r="B13" s="9" t="s">
        <v>370</v>
      </c>
      <c r="C13" s="16" t="s">
        <v>121</v>
      </c>
      <c r="D13" s="9"/>
      <c r="E13" s="9"/>
      <c r="F13" s="9"/>
      <c r="G13" s="9"/>
      <c r="H13" s="9"/>
      <c r="I13" s="9" t="s">
        <v>354</v>
      </c>
      <c r="J13" s="9"/>
    </row>
    <row r="14" spans="1:10">
      <c r="A14" s="15">
        <v>13</v>
      </c>
      <c r="B14" s="14" t="s">
        <v>371</v>
      </c>
      <c r="C14" s="15" t="s">
        <v>205</v>
      </c>
      <c r="D14" s="14"/>
      <c r="E14" s="14"/>
      <c r="F14" s="14"/>
      <c r="G14" s="14"/>
      <c r="H14" s="14"/>
      <c r="I14" s="14" t="s">
        <v>354</v>
      </c>
      <c r="J14" s="14"/>
    </row>
    <row r="15" spans="1:10">
      <c r="A15" s="16">
        <v>14</v>
      </c>
      <c r="B15" s="9" t="s">
        <v>372</v>
      </c>
      <c r="C15" s="16" t="s">
        <v>205</v>
      </c>
      <c r="D15" s="9"/>
      <c r="E15" s="9"/>
      <c r="F15" s="9"/>
      <c r="G15" s="9"/>
      <c r="H15" s="9"/>
      <c r="I15" s="9" t="s">
        <v>354</v>
      </c>
      <c r="J15" s="9"/>
    </row>
    <row r="16" spans="1:10">
      <c r="A16" s="15">
        <v>15</v>
      </c>
      <c r="B16" s="14" t="s">
        <v>373</v>
      </c>
      <c r="C16" s="15" t="s">
        <v>184</v>
      </c>
      <c r="D16" s="14" t="s">
        <v>210</v>
      </c>
      <c r="E16" s="14"/>
      <c r="F16" s="14"/>
      <c r="G16" s="14"/>
      <c r="H16" s="14"/>
      <c r="I16" s="14" t="s">
        <v>354</v>
      </c>
      <c r="J16" s="14"/>
    </row>
    <row r="17" spans="1:10">
      <c r="A17" s="16">
        <v>16</v>
      </c>
      <c r="B17" s="9" t="s">
        <v>374</v>
      </c>
      <c r="C17" s="16" t="s">
        <v>174</v>
      </c>
      <c r="D17" s="9" t="s">
        <v>60</v>
      </c>
      <c r="E17" s="9"/>
      <c r="F17" s="9"/>
      <c r="G17" s="9"/>
      <c r="H17" s="9"/>
      <c r="I17" s="9" t="s">
        <v>354</v>
      </c>
      <c r="J17" s="9"/>
    </row>
    <row r="18" spans="1:10">
      <c r="A18" s="15">
        <v>17</v>
      </c>
      <c r="B18" s="14" t="s">
        <v>375</v>
      </c>
      <c r="C18" s="15" t="s">
        <v>376</v>
      </c>
      <c r="D18" s="14" t="s">
        <v>210</v>
      </c>
      <c r="E18" s="14"/>
      <c r="F18" s="14"/>
      <c r="G18" s="14"/>
      <c r="H18" s="14"/>
      <c r="I18" s="14" t="s">
        <v>354</v>
      </c>
      <c r="J18" s="14"/>
    </row>
    <row r="19" spans="1:10">
      <c r="A19" s="16">
        <v>18</v>
      </c>
      <c r="B19" s="9" t="s">
        <v>377</v>
      </c>
      <c r="C19" s="16" t="s">
        <v>184</v>
      </c>
      <c r="D19" s="9" t="s">
        <v>378</v>
      </c>
      <c r="E19" s="9"/>
      <c r="F19" s="9"/>
      <c r="G19" s="9"/>
      <c r="H19" s="9"/>
      <c r="I19" s="9" t="s">
        <v>354</v>
      </c>
      <c r="J19" s="9"/>
    </row>
    <row r="20" spans="1:10">
      <c r="A20" s="15">
        <v>19</v>
      </c>
      <c r="B20" s="14" t="s">
        <v>379</v>
      </c>
      <c r="C20" s="15" t="s">
        <v>146</v>
      </c>
      <c r="D20" s="14"/>
      <c r="E20" s="14"/>
      <c r="F20" s="14"/>
      <c r="G20" s="14"/>
      <c r="H20" s="14"/>
      <c r="I20" s="14" t="s">
        <v>354</v>
      </c>
      <c r="J20" s="14"/>
    </row>
    <row r="21" spans="1:10">
      <c r="A21" s="16">
        <v>20</v>
      </c>
      <c r="B21" s="9" t="s">
        <v>380</v>
      </c>
      <c r="C21" s="16" t="s">
        <v>146</v>
      </c>
      <c r="D21" s="9" t="s">
        <v>151</v>
      </c>
      <c r="E21" s="9"/>
      <c r="F21" s="9"/>
      <c r="G21" s="9"/>
      <c r="H21" s="9"/>
      <c r="I21" s="9" t="s">
        <v>354</v>
      </c>
      <c r="J21" s="9"/>
    </row>
    <row r="22" spans="1:10">
      <c r="A22" s="15">
        <v>21</v>
      </c>
      <c r="B22" s="14" t="s">
        <v>381</v>
      </c>
      <c r="C22" s="15" t="s">
        <v>165</v>
      </c>
      <c r="D22" s="14"/>
      <c r="E22" s="14"/>
      <c r="F22" s="14"/>
      <c r="G22" s="14"/>
      <c r="H22" s="14"/>
      <c r="I22" s="14" t="s">
        <v>354</v>
      </c>
      <c r="J22" s="14"/>
    </row>
    <row r="23" spans="1:10">
      <c r="A23" s="16">
        <v>22</v>
      </c>
      <c r="B23" s="9" t="s">
        <v>382</v>
      </c>
      <c r="C23" s="16" t="s">
        <v>383</v>
      </c>
      <c r="D23" s="9" t="s">
        <v>170</v>
      </c>
      <c r="E23" s="9"/>
      <c r="F23" s="9"/>
      <c r="G23" s="9"/>
      <c r="H23" s="9"/>
      <c r="I23" s="9" t="s">
        <v>354</v>
      </c>
      <c r="J23" s="9"/>
    </row>
    <row r="24" spans="1:10">
      <c r="A24" s="15">
        <v>23</v>
      </c>
      <c r="B24" s="14" t="s">
        <v>384</v>
      </c>
      <c r="C24" s="15" t="s">
        <v>226</v>
      </c>
      <c r="D24" s="14"/>
      <c r="E24" s="14"/>
      <c r="F24" s="14"/>
      <c r="G24" s="14"/>
      <c r="H24" s="14"/>
      <c r="I24" s="14" t="s">
        <v>354</v>
      </c>
      <c r="J24" s="14"/>
    </row>
    <row r="25" spans="1:10">
      <c r="A25" s="16">
        <v>24</v>
      </c>
      <c r="B25" s="9" t="s">
        <v>385</v>
      </c>
      <c r="C25" s="16" t="s">
        <v>386</v>
      </c>
      <c r="D25" s="9" t="s">
        <v>210</v>
      </c>
      <c r="E25" s="9"/>
      <c r="F25" s="9"/>
      <c r="G25" s="9"/>
      <c r="H25" s="9"/>
      <c r="I25" s="9" t="s">
        <v>354</v>
      </c>
      <c r="J25" s="9"/>
    </row>
    <row r="26" spans="1:10">
      <c r="A26" s="15">
        <v>25</v>
      </c>
      <c r="B26" s="14" t="s">
        <v>387</v>
      </c>
      <c r="C26" s="15" t="s">
        <v>235</v>
      </c>
      <c r="D26" s="14"/>
      <c r="E26" s="14"/>
      <c r="F26" s="14"/>
      <c r="G26" s="14"/>
      <c r="H26" s="14"/>
      <c r="I26" s="14" t="s">
        <v>354</v>
      </c>
      <c r="J26" s="14"/>
    </row>
    <row r="27" spans="1:10">
      <c r="A27" s="16">
        <v>26</v>
      </c>
      <c r="B27" s="9" t="s">
        <v>388</v>
      </c>
      <c r="C27" s="16" t="s">
        <v>246</v>
      </c>
      <c r="D27" s="9" t="s">
        <v>251</v>
      </c>
      <c r="E27" s="9"/>
      <c r="F27" s="9"/>
      <c r="G27" s="9"/>
      <c r="H27" s="9"/>
      <c r="I27" s="9" t="s">
        <v>354</v>
      </c>
      <c r="J27" s="9"/>
    </row>
    <row r="28" spans="1:10">
      <c r="A28" s="15">
        <v>27</v>
      </c>
      <c r="B28" s="14" t="s">
        <v>389</v>
      </c>
      <c r="C28" s="15" t="s">
        <v>266</v>
      </c>
      <c r="D28" s="14" t="s">
        <v>390</v>
      </c>
      <c r="E28" s="14"/>
      <c r="F28" s="14"/>
      <c r="G28" s="14"/>
      <c r="H28" s="14"/>
      <c r="I28" s="14" t="s">
        <v>354</v>
      </c>
      <c r="J28" s="14"/>
    </row>
    <row r="29" spans="1:10">
      <c r="A29" s="16">
        <v>28</v>
      </c>
      <c r="B29" s="9" t="s">
        <v>391</v>
      </c>
      <c r="C29" s="16" t="s">
        <v>257</v>
      </c>
      <c r="D29" s="9"/>
      <c r="E29" s="9"/>
      <c r="F29" s="9"/>
      <c r="G29" s="9"/>
      <c r="H29" s="9"/>
      <c r="I29" s="9" t="s">
        <v>354</v>
      </c>
      <c r="J29" s="9"/>
    </row>
  </sheetData>
  <autoFilter ref="A1:J1" xr:uid="{00000000-0009-0000-0000-000003000000}"/>
  <dataValidations count="1">
    <dataValidation type="list" allowBlank="1" sqref="I2:I29" xr:uid="{00000000-0002-0000-0300-000000000000}">
      <formula1>"Draft,Under Review,Approved,Needs Update,N/A"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E1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25" customWidth="1"/>
    <col min="3" max="3" width="28" customWidth="1"/>
    <col min="4" max="4" width="52" customWidth="1"/>
    <col min="5" max="5" width="14" customWidth="1"/>
  </cols>
  <sheetData>
    <row r="1" spans="1:5">
      <c r="A1" s="2" t="s">
        <v>392</v>
      </c>
      <c r="B1" s="2" t="s">
        <v>393</v>
      </c>
      <c r="C1" s="2" t="s">
        <v>394</v>
      </c>
      <c r="D1" s="2" t="s">
        <v>395</v>
      </c>
      <c r="E1" s="2" t="s">
        <v>8</v>
      </c>
    </row>
    <row r="2" spans="1:5" ht="23.85">
      <c r="A2" s="17" t="s">
        <v>17</v>
      </c>
      <c r="B2" s="18" t="s">
        <v>396</v>
      </c>
      <c r="C2" s="18" t="s">
        <v>397</v>
      </c>
      <c r="D2" s="18" t="s">
        <v>398</v>
      </c>
      <c r="E2" s="18" t="s">
        <v>20</v>
      </c>
    </row>
    <row r="3" spans="1:5" ht="23.85">
      <c r="A3" s="17" t="s">
        <v>24</v>
      </c>
      <c r="B3" s="18" t="s">
        <v>396</v>
      </c>
      <c r="C3" s="18" t="s">
        <v>399</v>
      </c>
      <c r="D3" s="18" t="s">
        <v>400</v>
      </c>
      <c r="E3" s="18" t="s">
        <v>20</v>
      </c>
    </row>
    <row r="4" spans="1:5" ht="23.85">
      <c r="A4" s="17" t="s">
        <v>26</v>
      </c>
      <c r="B4" s="18" t="s">
        <v>396</v>
      </c>
      <c r="C4" s="18" t="s">
        <v>401</v>
      </c>
      <c r="D4" s="18" t="s">
        <v>402</v>
      </c>
      <c r="E4" s="18" t="s">
        <v>20</v>
      </c>
    </row>
    <row r="5" spans="1:5" ht="23.85">
      <c r="A5" s="19" t="s">
        <v>14</v>
      </c>
      <c r="B5" s="20" t="s">
        <v>403</v>
      </c>
      <c r="C5" s="20" t="s">
        <v>404</v>
      </c>
      <c r="D5" s="20" t="s">
        <v>405</v>
      </c>
      <c r="E5" s="20" t="s">
        <v>20</v>
      </c>
    </row>
    <row r="6" spans="1:5" ht="23.85">
      <c r="A6" s="19" t="s">
        <v>29</v>
      </c>
      <c r="B6" s="20" t="s">
        <v>403</v>
      </c>
      <c r="C6" s="20" t="s">
        <v>406</v>
      </c>
      <c r="D6" s="20" t="s">
        <v>407</v>
      </c>
      <c r="E6" s="20" t="s">
        <v>20</v>
      </c>
    </row>
    <row r="7" spans="1:5" ht="23.85">
      <c r="A7" s="19" t="s">
        <v>31</v>
      </c>
      <c r="B7" s="20" t="s">
        <v>403</v>
      </c>
      <c r="C7" s="20" t="s">
        <v>408</v>
      </c>
      <c r="D7" s="20" t="s">
        <v>409</v>
      </c>
      <c r="E7" s="20" t="s">
        <v>20</v>
      </c>
    </row>
    <row r="8" spans="1:5" ht="23.85">
      <c r="A8" s="19" t="s">
        <v>108</v>
      </c>
      <c r="B8" s="20" t="s">
        <v>403</v>
      </c>
      <c r="C8" s="20" t="s">
        <v>410</v>
      </c>
      <c r="D8" s="20" t="s">
        <v>411</v>
      </c>
      <c r="E8" s="20" t="s">
        <v>20</v>
      </c>
    </row>
    <row r="9" spans="1:5" ht="23.85">
      <c r="A9" s="21" t="s">
        <v>412</v>
      </c>
      <c r="B9" s="22" t="s">
        <v>413</v>
      </c>
      <c r="C9" s="22" t="s">
        <v>414</v>
      </c>
      <c r="D9" s="22" t="s">
        <v>415</v>
      </c>
      <c r="E9" s="22" t="s">
        <v>20</v>
      </c>
    </row>
    <row r="10" spans="1:5">
      <c r="A10" s="21" t="s">
        <v>416</v>
      </c>
      <c r="B10" s="22" t="s">
        <v>413</v>
      </c>
      <c r="C10" s="22" t="s">
        <v>417</v>
      </c>
      <c r="D10" s="22" t="s">
        <v>418</v>
      </c>
      <c r="E10" s="22" t="s">
        <v>20</v>
      </c>
    </row>
    <row r="11" spans="1:5">
      <c r="A11" s="21" t="s">
        <v>419</v>
      </c>
      <c r="B11" s="22" t="s">
        <v>413</v>
      </c>
      <c r="C11" s="22" t="s">
        <v>420</v>
      </c>
      <c r="D11" s="22" t="s">
        <v>421</v>
      </c>
      <c r="E11" s="22" t="s">
        <v>20</v>
      </c>
    </row>
    <row r="12" spans="1:5">
      <c r="A12" s="23" t="s">
        <v>422</v>
      </c>
      <c r="B12" s="24" t="s">
        <v>423</v>
      </c>
      <c r="C12" s="24" t="s">
        <v>236</v>
      </c>
      <c r="D12" s="24" t="s">
        <v>424</v>
      </c>
      <c r="E12" s="24" t="s">
        <v>20</v>
      </c>
    </row>
    <row r="13" spans="1:5" ht="23.85">
      <c r="A13" s="23" t="s">
        <v>425</v>
      </c>
      <c r="B13" s="24" t="s">
        <v>423</v>
      </c>
      <c r="C13" s="24" t="s">
        <v>426</v>
      </c>
      <c r="D13" s="24" t="s">
        <v>427</v>
      </c>
      <c r="E13" s="24" t="s">
        <v>20</v>
      </c>
    </row>
    <row r="14" spans="1:5" ht="23.85">
      <c r="A14" s="23" t="s">
        <v>428</v>
      </c>
      <c r="B14" s="24" t="s">
        <v>423</v>
      </c>
      <c r="C14" s="24" t="s">
        <v>429</v>
      </c>
      <c r="D14" s="24" t="s">
        <v>430</v>
      </c>
      <c r="E14" s="24" t="s">
        <v>20</v>
      </c>
    </row>
    <row r="15" spans="1:5" ht="23.85">
      <c r="A15" s="23" t="s">
        <v>431</v>
      </c>
      <c r="B15" s="24" t="s">
        <v>423</v>
      </c>
      <c r="C15" s="24" t="s">
        <v>432</v>
      </c>
      <c r="D15" s="24" t="s">
        <v>433</v>
      </c>
      <c r="E15" s="24" t="s">
        <v>20</v>
      </c>
    </row>
  </sheetData>
  <dataValidations count="1">
    <dataValidation type="list" allowBlank="1" sqref="E2:E15" xr:uid="{00000000-0002-0000-0400-000000000000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H1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30" customWidth="1"/>
    <col min="2" max="2" width="18" customWidth="1"/>
    <col min="3" max="3" width="10" customWidth="1"/>
    <col min="4" max="4" width="48" customWidth="1"/>
    <col min="5" max="5" width="10" customWidth="1"/>
    <col min="6" max="6" width="18" customWidth="1"/>
    <col min="7" max="7" width="16" customWidth="1"/>
    <col min="8" max="8" width="14" customWidth="1"/>
  </cols>
  <sheetData>
    <row r="1" spans="1:8" ht="39.6">
      <c r="A1" s="2" t="s">
        <v>434</v>
      </c>
      <c r="B1" s="2" t="s">
        <v>435</v>
      </c>
      <c r="C1" s="2" t="s">
        <v>436</v>
      </c>
      <c r="D1" s="2" t="s">
        <v>437</v>
      </c>
      <c r="E1" s="2" t="s">
        <v>438</v>
      </c>
      <c r="F1" s="2" t="s">
        <v>439</v>
      </c>
      <c r="G1" s="2" t="s">
        <v>440</v>
      </c>
      <c r="H1" s="2" t="s">
        <v>441</v>
      </c>
    </row>
    <row r="2" spans="1:8">
      <c r="A2" s="9" t="s">
        <v>442</v>
      </c>
      <c r="B2" s="9" t="s">
        <v>443</v>
      </c>
      <c r="C2" s="25" t="s">
        <v>444</v>
      </c>
      <c r="D2" s="4" t="s">
        <v>445</v>
      </c>
      <c r="E2" s="16" t="s">
        <v>446</v>
      </c>
      <c r="F2" s="9"/>
      <c r="G2" s="9"/>
      <c r="H2" s="9"/>
    </row>
    <row r="3" spans="1:8" ht="23.85">
      <c r="A3" s="9" t="s">
        <v>447</v>
      </c>
      <c r="B3" s="9" t="s">
        <v>448</v>
      </c>
      <c r="C3" s="25" t="s">
        <v>444</v>
      </c>
      <c r="D3" s="4" t="s">
        <v>449</v>
      </c>
      <c r="E3" s="16" t="s">
        <v>446</v>
      </c>
      <c r="F3" s="9"/>
      <c r="G3" s="9"/>
      <c r="H3" s="9"/>
    </row>
    <row r="4" spans="1:8" ht="23.85">
      <c r="A4" s="9" t="s">
        <v>450</v>
      </c>
      <c r="B4" s="9" t="s">
        <v>451</v>
      </c>
      <c r="C4" s="25" t="s">
        <v>444</v>
      </c>
      <c r="D4" s="4" t="s">
        <v>452</v>
      </c>
      <c r="E4" s="16" t="s">
        <v>446</v>
      </c>
      <c r="F4" s="9"/>
      <c r="G4" s="9"/>
      <c r="H4" s="9"/>
    </row>
    <row r="5" spans="1:8" ht="23.85">
      <c r="A5" s="9" t="s">
        <v>453</v>
      </c>
      <c r="B5" s="9" t="s">
        <v>454</v>
      </c>
      <c r="C5" s="25" t="s">
        <v>444</v>
      </c>
      <c r="D5" s="4" t="s">
        <v>455</v>
      </c>
      <c r="E5" s="16" t="s">
        <v>446</v>
      </c>
      <c r="F5" s="9"/>
      <c r="G5" s="9"/>
      <c r="H5" s="9"/>
    </row>
    <row r="6" spans="1:8" ht="23.85">
      <c r="A6" s="9" t="s">
        <v>456</v>
      </c>
      <c r="B6" s="9" t="s">
        <v>457</v>
      </c>
      <c r="C6" s="25" t="s">
        <v>444</v>
      </c>
      <c r="D6" s="4" t="s">
        <v>458</v>
      </c>
      <c r="E6" s="16" t="s">
        <v>446</v>
      </c>
      <c r="F6" s="9"/>
      <c r="G6" s="9"/>
      <c r="H6" s="9"/>
    </row>
    <row r="7" spans="1:8">
      <c r="A7" s="9" t="s">
        <v>459</v>
      </c>
      <c r="B7" s="9" t="s">
        <v>460</v>
      </c>
      <c r="C7" s="25" t="s">
        <v>444</v>
      </c>
      <c r="D7" s="4" t="s">
        <v>461</v>
      </c>
      <c r="E7" s="16" t="s">
        <v>446</v>
      </c>
      <c r="F7" s="9"/>
      <c r="G7" s="9"/>
      <c r="H7" s="9"/>
    </row>
    <row r="8" spans="1:8" ht="23.85">
      <c r="A8" s="9" t="s">
        <v>462</v>
      </c>
      <c r="B8" s="9" t="s">
        <v>463</v>
      </c>
      <c r="C8" s="26" t="s">
        <v>464</v>
      </c>
      <c r="D8" s="4" t="s">
        <v>465</v>
      </c>
      <c r="E8" s="16" t="s">
        <v>446</v>
      </c>
      <c r="F8" s="9"/>
      <c r="G8" s="9"/>
      <c r="H8" s="9"/>
    </row>
    <row r="9" spans="1:8">
      <c r="A9" s="9" t="s">
        <v>466</v>
      </c>
      <c r="B9" s="9" t="s">
        <v>467</v>
      </c>
      <c r="C9" s="26" t="s">
        <v>464</v>
      </c>
      <c r="D9" s="4" t="s">
        <v>468</v>
      </c>
      <c r="E9" s="16" t="s">
        <v>446</v>
      </c>
      <c r="F9" s="9"/>
      <c r="G9" s="9"/>
      <c r="H9" s="9"/>
    </row>
    <row r="10" spans="1:8" ht="23.85">
      <c r="A10" s="9" t="s">
        <v>469</v>
      </c>
      <c r="B10" s="9" t="s">
        <v>467</v>
      </c>
      <c r="C10" s="26" t="s">
        <v>464</v>
      </c>
      <c r="D10" s="4" t="s">
        <v>470</v>
      </c>
      <c r="E10" s="16" t="s">
        <v>446</v>
      </c>
      <c r="F10" s="9"/>
      <c r="G10" s="9"/>
      <c r="H10" s="9"/>
    </row>
    <row r="11" spans="1:8">
      <c r="A11" s="9" t="s">
        <v>471</v>
      </c>
      <c r="B11" s="9" t="s">
        <v>472</v>
      </c>
      <c r="C11" s="11" t="s">
        <v>473</v>
      </c>
      <c r="D11" s="4" t="s">
        <v>474</v>
      </c>
      <c r="E11" s="16" t="s">
        <v>446</v>
      </c>
      <c r="F11" s="9"/>
      <c r="G11" s="9"/>
      <c r="H11" s="9"/>
    </row>
    <row r="12" spans="1:8">
      <c r="A12" s="9" t="s">
        <v>475</v>
      </c>
      <c r="B12" s="9" t="s">
        <v>467</v>
      </c>
      <c r="C12" s="11" t="s">
        <v>473</v>
      </c>
      <c r="D12" s="4" t="s">
        <v>476</v>
      </c>
      <c r="E12" s="16" t="s">
        <v>446</v>
      </c>
      <c r="F12" s="9"/>
      <c r="G12" s="9"/>
      <c r="H12" s="9"/>
    </row>
  </sheetData>
  <autoFilter ref="A1:H1" xr:uid="{00000000-0009-0000-0000-000005000000}"/>
  <dataValidations count="3">
    <dataValidation type="list" allowBlank="1" sqref="C2:C12" xr:uid="{00000000-0002-0000-0500-000000000000}">
      <formula1>"High,Medium,Low"</formula1>
      <formula2>0</formula2>
    </dataValidation>
    <dataValidation type="list" allowBlank="1" sqref="G2:G12" xr:uid="{00000000-0002-0000-0500-000001000000}">
      <formula1>"Not Validated,Validation In Progress,Validated,Validation Expired,N/A"</formula1>
      <formula2>0</formula2>
    </dataValidation>
    <dataValidation type="list" allowBlank="1" sqref="E2:E12" xr:uid="{00000000-0002-0000-0500-000002000000}">
      <formula1>"Yes,No,Under Review"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2026-02-19T22:40:08Z</dcterms:created>
  <dcterms:modified xsi:type="dcterms:W3CDTF">2026-08-03T14:42:05Z</dcterms:modified>
  <cp:category/>
  <cp:contentStatus/>
</cp:coreProperties>
</file>